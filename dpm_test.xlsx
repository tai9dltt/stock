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/Users/tainh/Desktop/"/>
    </mc:Choice>
  </mc:AlternateContent>
  <xr:revisionPtr revIDLastSave="0" documentId="13_ncr:1_{A61EDABF-A89A-2C4F-A11F-DFB87D8AE94C}" xr6:coauthVersionLast="47" xr6:coauthVersionMax="47" xr10:uidLastSave="{00000000-0000-0000-0000-000000000000}"/>
  <bookViews>
    <workbookView xWindow="1760" yWindow="2180" windowWidth="27640" windowHeight="16940" xr2:uid="{688C4E4B-0FAB-8341-96E7-89B14D5F3E3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P30" i="1"/>
  <c r="O30" i="1"/>
  <c r="N30" i="1"/>
  <c r="M30" i="1"/>
  <c r="L30" i="1"/>
  <c r="K30" i="1"/>
  <c r="J30" i="1"/>
  <c r="I30" i="1"/>
  <c r="H30" i="1"/>
  <c r="G30" i="1"/>
  <c r="R29" i="1"/>
  <c r="N29" i="1"/>
  <c r="M29" i="1"/>
  <c r="L29" i="1"/>
  <c r="K29" i="1"/>
  <c r="J29" i="1"/>
  <c r="I29" i="1"/>
  <c r="H29" i="1"/>
  <c r="G29" i="1"/>
  <c r="P26" i="1"/>
  <c r="O26" i="1"/>
  <c r="N26" i="1"/>
  <c r="M26" i="1"/>
  <c r="L26" i="1"/>
  <c r="O27" i="1" s="1"/>
  <c r="K26" i="1"/>
  <c r="J26" i="1"/>
  <c r="I26" i="1"/>
  <c r="H26" i="1"/>
  <c r="G26" i="1"/>
  <c r="F26" i="1"/>
  <c r="E26" i="1"/>
  <c r="D26" i="1"/>
  <c r="G27" i="1" s="1"/>
  <c r="C26" i="1"/>
  <c r="F27" i="1" s="1"/>
  <c r="R25" i="1"/>
  <c r="Q25" i="1"/>
  <c r="N25" i="1"/>
  <c r="M25" i="1"/>
  <c r="L25" i="1"/>
  <c r="K25" i="1"/>
  <c r="J25" i="1"/>
  <c r="I25" i="1"/>
  <c r="H25" i="1"/>
  <c r="G25" i="1"/>
  <c r="F25" i="1"/>
  <c r="E25" i="1"/>
  <c r="D25" i="1"/>
  <c r="C25" i="1"/>
  <c r="N22" i="1"/>
  <c r="M22" i="1"/>
  <c r="L22" i="1"/>
  <c r="K22" i="1"/>
  <c r="J22" i="1"/>
  <c r="I22" i="1"/>
  <c r="H22" i="1"/>
  <c r="G22" i="1"/>
  <c r="F22" i="1"/>
  <c r="E22" i="1"/>
  <c r="D22" i="1"/>
  <c r="C22" i="1"/>
  <c r="R20" i="1"/>
  <c r="R22" i="1" s="1"/>
  <c r="Q20" i="1"/>
  <c r="Q22" i="1" s="1"/>
  <c r="P20" i="1"/>
  <c r="P22" i="1" s="1"/>
  <c r="O20" i="1"/>
  <c r="O29" i="1" s="1"/>
  <c r="E14" i="1"/>
  <c r="D14" i="1"/>
  <c r="E13" i="1"/>
  <c r="D13" i="1"/>
  <c r="G10" i="1"/>
  <c r="E10" i="1"/>
  <c r="D10" i="1"/>
  <c r="C10" i="1"/>
  <c r="H9" i="1"/>
  <c r="H14" i="1" s="1"/>
  <c r="F9" i="1"/>
  <c r="F14" i="1" s="1"/>
  <c r="F8" i="1"/>
  <c r="G13" i="1" s="1"/>
  <c r="J4" i="1"/>
  <c r="J5" i="1" s="1"/>
  <c r="E4" i="1" s="1"/>
  <c r="B4" i="1"/>
  <c r="B5" i="1" s="1"/>
  <c r="J2" i="1"/>
  <c r="I27" i="1" l="1"/>
  <c r="H27" i="1"/>
  <c r="P27" i="1"/>
  <c r="P42" i="1" s="1"/>
  <c r="F13" i="1"/>
  <c r="O28" i="1"/>
  <c r="H8" i="1"/>
  <c r="H10" i="1" s="1"/>
  <c r="R23" i="1"/>
  <c r="R26" i="1" s="1"/>
  <c r="H11" i="1"/>
  <c r="H12" i="1" s="1"/>
  <c r="P28" i="1"/>
  <c r="O44" i="1"/>
  <c r="O43" i="1"/>
  <c r="O42" i="1"/>
  <c r="O41" i="1"/>
  <c r="O40" i="1"/>
  <c r="O39" i="1"/>
  <c r="O38" i="1"/>
  <c r="P39" i="1"/>
  <c r="P38" i="1"/>
  <c r="P44" i="1"/>
  <c r="P43" i="1"/>
  <c r="N7" i="1"/>
  <c r="F10" i="1"/>
  <c r="G14" i="1"/>
  <c r="P25" i="1"/>
  <c r="P29" i="1"/>
  <c r="C4" i="1"/>
  <c r="F11" i="1"/>
  <c r="Q23" i="1"/>
  <c r="Q29" i="1"/>
  <c r="G11" i="1"/>
  <c r="O22" i="1"/>
  <c r="O25" i="1"/>
  <c r="R30" i="1" l="1"/>
  <c r="P41" i="1"/>
  <c r="P40" i="1"/>
  <c r="H13" i="1"/>
  <c r="Q30" i="1"/>
  <c r="Q26" i="1"/>
  <c r="G12" i="1"/>
  <c r="Q28" i="1" l="1"/>
  <c r="R27" i="1"/>
  <c r="Q27" i="1"/>
  <c r="R28" i="1"/>
  <c r="Q44" i="1" l="1"/>
  <c r="Q43" i="1"/>
  <c r="Q42" i="1"/>
  <c r="Q41" i="1"/>
  <c r="Q40" i="1"/>
  <c r="Q39" i="1"/>
  <c r="Q38" i="1"/>
  <c r="R44" i="1"/>
  <c r="R43" i="1"/>
  <c r="R42" i="1"/>
  <c r="R41" i="1"/>
  <c r="R40" i="1"/>
  <c r="R39" i="1"/>
  <c r="R38" i="1"/>
</calcChain>
</file>

<file path=xl/sharedStrings.xml><?xml version="1.0" encoding="utf-8"?>
<sst xmlns="http://schemas.openxmlformats.org/spreadsheetml/2006/main" count="67" uniqueCount="50">
  <si>
    <t>TẦM SOÁT CỔ PHIẾU</t>
  </si>
  <si>
    <t>DPM</t>
  </si>
  <si>
    <t>NGÀY</t>
  </si>
  <si>
    <t>ĐÁNH GIÁ CP:</t>
  </si>
  <si>
    <t>Gía dự kiến ngắn hạn:</t>
  </si>
  <si>
    <t>Đơn vị tính</t>
  </si>
  <si>
    <t>LN dự kiến:</t>
  </si>
  <si>
    <t>10^6</t>
  </si>
  <si>
    <t xml:space="preserve">                                       Niên độ
Thông tin + chỉ số</t>
  </si>
  <si>
    <r>
      <rPr>
        <b/>
        <sz val="13"/>
        <color theme="0"/>
        <rFont val="Times New Roman"/>
        <family val="1"/>
      </rPr>
      <t xml:space="preserve">2018
</t>
    </r>
    <r>
      <rPr>
        <b/>
        <sz val="10"/>
        <color theme="0"/>
        <rFont val="Times New Roman"/>
        <family val="1"/>
      </rPr>
      <t>01/01-31/12</t>
    </r>
  </si>
  <si>
    <r>
      <rPr>
        <b/>
        <sz val="13"/>
        <color theme="0"/>
        <rFont val="Times New Roman"/>
        <family val="1"/>
      </rPr>
      <t xml:space="preserve">2019
</t>
    </r>
    <r>
      <rPr>
        <b/>
        <sz val="10"/>
        <color theme="0"/>
        <rFont val="Times New Roman"/>
        <family val="1"/>
      </rPr>
      <t>01/01-31/12</t>
    </r>
  </si>
  <si>
    <r>
      <rPr>
        <b/>
        <sz val="13"/>
        <color theme="0"/>
        <rFont val="Times New Roman"/>
        <family val="1"/>
      </rPr>
      <t xml:space="preserve">2020
</t>
    </r>
    <r>
      <rPr>
        <b/>
        <sz val="10"/>
        <color theme="0"/>
        <rFont val="Times New Roman"/>
        <family val="1"/>
      </rPr>
      <t>01/01-31/12</t>
    </r>
  </si>
  <si>
    <r>
      <t xml:space="preserve">2021
</t>
    </r>
    <r>
      <rPr>
        <b/>
        <sz val="10"/>
        <color theme="0"/>
        <rFont val="Times New Roman"/>
        <family val="1"/>
      </rPr>
      <t>01/01-31/12</t>
    </r>
  </si>
  <si>
    <r>
      <t xml:space="preserve">2022
</t>
    </r>
    <r>
      <rPr>
        <b/>
        <sz val="10"/>
        <color theme="0"/>
        <rFont val="Times New Roman"/>
        <family val="1"/>
      </rPr>
      <t>01/01-31/12</t>
    </r>
  </si>
  <si>
    <r>
      <t xml:space="preserve">2023
</t>
    </r>
    <r>
      <rPr>
        <b/>
        <sz val="10"/>
        <color theme="0"/>
        <rFont val="Times New Roman"/>
        <family val="1"/>
      </rPr>
      <t>01/01-31/12</t>
    </r>
  </si>
  <si>
    <t>Ngành:</t>
  </si>
  <si>
    <t>Thu nhập lãi thuần</t>
  </si>
  <si>
    <t>Lợi nhuận sau thuế công ty mẹ</t>
  </si>
  <si>
    <t>Biên lợi nhuận ròng</t>
  </si>
  <si>
    <t>% TT Doanh thu</t>
  </si>
  <si>
    <t>EPS</t>
  </si>
  <si>
    <t>% Biên LNR dự kiến</t>
  </si>
  <si>
    <t>P/E (Vietsock)</t>
  </si>
  <si>
    <t>Tốc độ tăng tưởng doanh thu</t>
  </si>
  <si>
    <t>Tốc độ tăng tưởng LNST</t>
  </si>
  <si>
    <t xml:space="preserve">                                          Niên độ
Thông tin + chỉ số</t>
  </si>
  <si>
    <t>Quý I
01/01-31/03</t>
  </si>
  <si>
    <t>Quý II
01/04-30/06</t>
  </si>
  <si>
    <t>Quý III
01/07-30/09</t>
  </si>
  <si>
    <t>Quý IV
01/10-31/12</t>
  </si>
  <si>
    <t>Quý I (F)
01/01-31/03</t>
  </si>
  <si>
    <t>Quý II (F)
01/04-30/06</t>
  </si>
  <si>
    <t>Quý III (F)
01/07-30/09</t>
  </si>
  <si>
    <t>Quý IV (F)
01/10-31/12</t>
  </si>
  <si>
    <t>Lợi nhuận gộp</t>
  </si>
  <si>
    <t>Biên lợi nhuận gộp</t>
  </si>
  <si>
    <t>Khối lượng cổ phiếu lưu hành</t>
  </si>
  <si>
    <t>EPS quý</t>
  </si>
  <si>
    <t>EPS lũy kế</t>
  </si>
  <si>
    <t>P/E</t>
  </si>
  <si>
    <t>Định giá VND (dong)</t>
  </si>
  <si>
    <t>Giả sử P/E:</t>
  </si>
  <si>
    <t>Quý I (F)</t>
  </si>
  <si>
    <t>Quý II (F)</t>
  </si>
  <si>
    <t>Quý III (F)</t>
  </si>
  <si>
    <t>Quý IV (F)</t>
  </si>
  <si>
    <r>
      <rPr>
        <b/>
        <sz val="15"/>
        <color rgb="FFFF0000"/>
        <rFont val="Times New Roman"/>
        <family val="1"/>
      </rPr>
      <t>I. Yếu tố ảnh hưởng đến ngành:</t>
    </r>
  </si>
  <si>
    <t>Giá Khi Gas tăng</t>
  </si>
  <si>
    <t>Số lượng CP lưu hành</t>
  </si>
  <si>
    <t>Giá CP ngày 09/11/2022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</si>
</sst>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=0]General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rgb="FF0070C0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22"/>
      <name val="Times New Roman"/>
      <family val="1"/>
    </font>
    <font>
      <b/>
      <sz val="10.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.5"/>
      <name val="Times New Roman"/>
      <family val="1"/>
    </font>
    <font>
      <b/>
      <sz val="15"/>
      <color rgb="FFFF0000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0"/>
      <name val="Times New Roman"/>
      <family val="1"/>
    </font>
    <font>
      <b/>
      <sz val="13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5117038483843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 diagonalDown="1">
      <left/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dashed">
        <color theme="1"/>
      </bottom>
      <diagonal/>
    </border>
    <border>
      <left/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auto="1"/>
      </right>
      <top style="thin">
        <color auto="1"/>
      </top>
      <bottom style="dashed">
        <color theme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theme="1"/>
      </right>
      <top/>
      <bottom style="dashed">
        <color auto="1"/>
      </bottom>
      <diagonal/>
    </border>
    <border>
      <left style="dashed">
        <color theme="1"/>
      </left>
      <right style="thin">
        <color auto="1"/>
      </right>
      <top/>
      <bottom style="dashed">
        <color theme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theme="1"/>
      </right>
      <top style="dashed">
        <color auto="1"/>
      </top>
      <bottom style="dashed">
        <color auto="1"/>
      </bottom>
      <diagonal/>
    </border>
    <border>
      <left style="dashed">
        <color theme="1"/>
      </left>
      <right style="thin">
        <color auto="1"/>
      </right>
      <top style="dashed">
        <color theme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theme="2"/>
      </left>
      <right style="thin">
        <color auto="1"/>
      </right>
      <top/>
      <bottom/>
      <diagonal/>
    </border>
    <border diagonalDown="1">
      <left style="thin">
        <color theme="0"/>
      </left>
      <right/>
      <top style="thin">
        <color theme="0"/>
      </top>
      <bottom style="thin">
        <color auto="1"/>
      </bottom>
      <diagonal style="thin">
        <color theme="0"/>
      </diagonal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 diagonalDown="1">
      <left style="thin">
        <color theme="0"/>
      </left>
      <right/>
      <top style="thin">
        <color auto="1"/>
      </top>
      <bottom style="thin">
        <color theme="0"/>
      </bottom>
      <diagonal style="thin">
        <color theme="0"/>
      </diagonal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0" xfId="3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37" fontId="12" fillId="0" borderId="4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4" fillId="0" borderId="5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right" vertical="center"/>
    </xf>
    <xf numFmtId="10" fontId="13" fillId="0" borderId="4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vertical="center"/>
    </xf>
    <xf numFmtId="0" fontId="15" fillId="5" borderId="6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3" fontId="5" fillId="0" borderId="14" xfId="0" applyNumberFormat="1" applyFont="1" applyBorder="1" applyAlignment="1">
      <alignment vertical="center"/>
    </xf>
    <xf numFmtId="41" fontId="5" fillId="0" borderId="15" xfId="0" applyNumberFormat="1" applyFont="1" applyBorder="1" applyAlignment="1">
      <alignment vertical="center"/>
    </xf>
    <xf numFmtId="41" fontId="5" fillId="7" borderId="15" xfId="0" applyNumberFormat="1" applyFont="1" applyFill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37" fontId="5" fillId="0" borderId="18" xfId="0" applyNumberFormat="1" applyFont="1" applyBorder="1" applyAlignment="1">
      <alignment horizontal="left" vertical="center"/>
    </xf>
    <xf numFmtId="0" fontId="13" fillId="0" borderId="19" xfId="0" applyFont="1" applyBorder="1" applyAlignment="1">
      <alignment vertical="center"/>
    </xf>
    <xf numFmtId="3" fontId="5" fillId="0" borderId="20" xfId="0" applyNumberFormat="1" applyFont="1" applyBorder="1" applyAlignment="1">
      <alignment vertical="center"/>
    </xf>
    <xf numFmtId="41" fontId="5" fillId="0" borderId="21" xfId="0" applyNumberFormat="1" applyFont="1" applyBorder="1" applyAlignment="1">
      <alignment vertical="center"/>
    </xf>
    <xf numFmtId="41" fontId="5" fillId="7" borderId="21" xfId="0" applyNumberFormat="1" applyFont="1" applyFill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37" fontId="5" fillId="0" borderId="24" xfId="0" applyNumberFormat="1" applyFont="1" applyBorder="1" applyAlignment="1">
      <alignment horizontal="left" vertical="center"/>
    </xf>
    <xf numFmtId="10" fontId="19" fillId="0" borderId="20" xfId="2" applyNumberFormat="1" applyFont="1" applyBorder="1" applyAlignment="1">
      <alignment vertical="center"/>
    </xf>
    <xf numFmtId="10" fontId="5" fillId="0" borderId="21" xfId="2" applyNumberFormat="1" applyFont="1" applyFill="1" applyBorder="1" applyAlignment="1">
      <alignment vertical="center"/>
    </xf>
    <xf numFmtId="10" fontId="5" fillId="7" borderId="21" xfId="2" applyNumberFormat="1" applyFont="1" applyFill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10" fontId="5" fillId="0" borderId="26" xfId="0" applyNumberFormat="1" applyFont="1" applyBorder="1" applyAlignment="1">
      <alignment horizontal="left" vertical="center"/>
    </xf>
    <xf numFmtId="1" fontId="5" fillId="0" borderId="21" xfId="0" applyNumberFormat="1" applyFont="1" applyBorder="1" applyAlignment="1">
      <alignment vertical="center"/>
    </xf>
    <xf numFmtId="1" fontId="5" fillId="7" borderId="21" xfId="0" applyNumberFormat="1" applyFont="1" applyFill="1" applyBorder="1" applyAlignment="1">
      <alignment vertical="center"/>
    </xf>
    <xf numFmtId="0" fontId="10" fillId="0" borderId="2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10" fontId="5" fillId="0" borderId="29" xfId="0" applyNumberFormat="1" applyFont="1" applyBorder="1" applyAlignment="1">
      <alignment horizontal="left" vertical="center"/>
    </xf>
    <xf numFmtId="4" fontId="5" fillId="0" borderId="20" xfId="0" applyNumberFormat="1" applyFont="1" applyBorder="1" applyAlignment="1">
      <alignment vertical="center"/>
    </xf>
    <xf numFmtId="43" fontId="5" fillId="0" borderId="21" xfId="0" applyNumberFormat="1" applyFont="1" applyBorder="1" applyAlignment="1">
      <alignment vertical="center"/>
    </xf>
    <xf numFmtId="43" fontId="5" fillId="7" borderId="21" xfId="0" applyNumberFormat="1" applyFont="1" applyFill="1" applyBorder="1" applyAlignment="1">
      <alignment vertic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3" fontId="19" fillId="0" borderId="21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19" xfId="0" applyFont="1" applyBorder="1" applyAlignment="1">
      <alignment vertical="center"/>
    </xf>
    <xf numFmtId="9" fontId="19" fillId="0" borderId="20" xfId="2" applyFont="1" applyBorder="1" applyAlignment="1">
      <alignment vertical="center"/>
    </xf>
    <xf numFmtId="9" fontId="19" fillId="0" borderId="20" xfId="2" applyFont="1" applyFill="1" applyBorder="1" applyAlignment="1">
      <alignment vertical="center"/>
    </xf>
    <xf numFmtId="164" fontId="19" fillId="0" borderId="21" xfId="1" applyNumberFormat="1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9" fontId="19" fillId="0" borderId="31" xfId="2" applyFont="1" applyBorder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164" fontId="21" fillId="4" borderId="2" xfId="2" applyNumberFormat="1" applyFont="1" applyFill="1" applyBorder="1" applyAlignment="1">
      <alignment vertical="center"/>
    </xf>
    <xf numFmtId="1" fontId="21" fillId="0" borderId="2" xfId="0" applyNumberFormat="1" applyFont="1" applyBorder="1" applyAlignment="1">
      <alignment vertical="center"/>
    </xf>
    <xf numFmtId="41" fontId="21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15" fillId="5" borderId="37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15" fillId="6" borderId="4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41" fontId="5" fillId="0" borderId="14" xfId="0" applyNumberFormat="1" applyFont="1" applyBorder="1" applyAlignment="1">
      <alignment vertical="center"/>
    </xf>
    <xf numFmtId="41" fontId="21" fillId="4" borderId="14" xfId="0" applyNumberFormat="1" applyFont="1" applyFill="1" applyBorder="1" applyAlignment="1">
      <alignment vertical="center"/>
    </xf>
    <xf numFmtId="0" fontId="5" fillId="0" borderId="0" xfId="0" applyFont="1"/>
    <xf numFmtId="3" fontId="0" fillId="0" borderId="0" xfId="0" applyNumberFormat="1"/>
    <xf numFmtId="9" fontId="19" fillId="0" borderId="0" xfId="2" applyFont="1" applyAlignment="1">
      <alignment vertical="center"/>
    </xf>
    <xf numFmtId="0" fontId="13" fillId="8" borderId="19" xfId="0" applyFont="1" applyFill="1" applyBorder="1" applyAlignment="1">
      <alignment vertical="center"/>
    </xf>
    <xf numFmtId="41" fontId="5" fillId="8" borderId="20" xfId="0" applyNumberFormat="1" applyFont="1" applyFill="1" applyBorder="1" applyAlignment="1">
      <alignment vertical="center"/>
    </xf>
    <xf numFmtId="41" fontId="21" fillId="4" borderId="20" xfId="0" applyNumberFormat="1" applyFont="1" applyFill="1" applyBorder="1" applyAlignment="1">
      <alignment vertical="center"/>
    </xf>
    <xf numFmtId="41" fontId="21" fillId="4" borderId="21" xfId="0" applyNumberFormat="1" applyFont="1" applyFill="1" applyBorder="1" applyAlignment="1">
      <alignment vertical="center"/>
    </xf>
    <xf numFmtId="41" fontId="5" fillId="0" borderId="20" xfId="0" applyNumberFormat="1" applyFont="1" applyBorder="1" applyAlignment="1">
      <alignment horizontal="right" vertical="center"/>
    </xf>
    <xf numFmtId="0" fontId="5" fillId="8" borderId="19" xfId="0" applyFont="1" applyFill="1" applyBorder="1" applyAlignment="1">
      <alignment vertical="center"/>
    </xf>
    <xf numFmtId="10" fontId="19" fillId="8" borderId="20" xfId="2" applyNumberFormat="1" applyFont="1" applyFill="1" applyBorder="1" applyAlignment="1">
      <alignment vertical="center"/>
    </xf>
    <xf numFmtId="10" fontId="19" fillId="4" borderId="20" xfId="2" applyNumberFormat="1" applyFont="1" applyFill="1" applyBorder="1" applyAlignment="1">
      <alignment vertical="center"/>
    </xf>
    <xf numFmtId="10" fontId="19" fillId="4" borderId="21" xfId="2" applyNumberFormat="1" applyFont="1" applyFill="1" applyBorder="1" applyAlignment="1">
      <alignment vertical="center"/>
    </xf>
    <xf numFmtId="0" fontId="5" fillId="0" borderId="19" xfId="0" applyFont="1" applyBorder="1" applyAlignment="1">
      <alignment vertical="center"/>
    </xf>
    <xf numFmtId="1" fontId="20" fillId="0" borderId="20" xfId="0" applyNumberFormat="1" applyFont="1" applyBorder="1" applyAlignment="1">
      <alignment vertical="center"/>
    </xf>
    <xf numFmtId="1" fontId="20" fillId="4" borderId="20" xfId="0" applyNumberFormat="1" applyFont="1" applyFill="1" applyBorder="1" applyAlignment="1">
      <alignment vertical="center"/>
    </xf>
    <xf numFmtId="1" fontId="20" fillId="4" borderId="21" xfId="0" applyNumberFormat="1" applyFont="1" applyFill="1" applyBorder="1" applyAlignment="1">
      <alignment vertical="center"/>
    </xf>
    <xf numFmtId="1" fontId="19" fillId="8" borderId="20" xfId="0" applyNumberFormat="1" applyFont="1" applyFill="1" applyBorder="1" applyAlignment="1">
      <alignment vertical="center"/>
    </xf>
    <xf numFmtId="1" fontId="19" fillId="4" borderId="20" xfId="0" applyNumberFormat="1" applyFont="1" applyFill="1" applyBorder="1" applyAlignment="1">
      <alignment vertical="center"/>
    </xf>
    <xf numFmtId="1" fontId="19" fillId="4" borderId="21" xfId="0" applyNumberFormat="1" applyFont="1" applyFill="1" applyBorder="1" applyAlignment="1">
      <alignment vertical="center"/>
    </xf>
    <xf numFmtId="39" fontId="5" fillId="0" borderId="20" xfId="0" applyNumberFormat="1" applyFont="1" applyBorder="1" applyAlignment="1">
      <alignment vertical="center"/>
    </xf>
    <xf numFmtId="2" fontId="21" fillId="4" borderId="20" xfId="0" applyNumberFormat="1" applyFont="1" applyFill="1" applyBorder="1" applyAlignment="1">
      <alignment vertical="center"/>
    </xf>
    <xf numFmtId="10" fontId="5" fillId="0" borderId="20" xfId="2" applyNumberFormat="1" applyFont="1" applyBorder="1" applyAlignment="1">
      <alignment vertical="center"/>
    </xf>
    <xf numFmtId="10" fontId="0" fillId="0" borderId="20" xfId="0" applyNumberFormat="1" applyBorder="1" applyAlignment="1">
      <alignment horizontal="center" vertical="center"/>
    </xf>
    <xf numFmtId="0" fontId="5" fillId="8" borderId="30" xfId="0" applyFont="1" applyFill="1" applyBorder="1" applyAlignment="1">
      <alignment vertical="center"/>
    </xf>
    <xf numFmtId="1" fontId="5" fillId="8" borderId="33" xfId="2" applyNumberFormat="1" applyFont="1" applyFill="1" applyBorder="1" applyAlignment="1">
      <alignment vertical="center"/>
    </xf>
    <xf numFmtId="10" fontId="5" fillId="8" borderId="33" xfId="2" applyNumberFormat="1" applyFont="1" applyFill="1" applyBorder="1" applyAlignment="1">
      <alignment vertical="center"/>
    </xf>
    <xf numFmtId="10" fontId="0" fillId="8" borderId="33" xfId="2" applyNumberFormat="1" applyFont="1" applyFill="1" applyBorder="1" applyAlignment="1">
      <alignment vertical="center"/>
    </xf>
    <xf numFmtId="10" fontId="0" fillId="8" borderId="33" xfId="0" applyNumberFormat="1" applyFill="1" applyBorder="1" applyAlignment="1">
      <alignment horizontal="center" vertical="center"/>
    </xf>
    <xf numFmtId="1" fontId="5" fillId="0" borderId="0" xfId="2" applyNumberFormat="1" applyFont="1" applyBorder="1" applyAlignment="1">
      <alignment vertical="center"/>
    </xf>
    <xf numFmtId="10" fontId="5" fillId="0" borderId="0" xfId="2" applyNumberFormat="1" applyFont="1" applyBorder="1" applyAlignment="1">
      <alignment vertical="center"/>
    </xf>
    <xf numFmtId="10" fontId="0" fillId="0" borderId="0" xfId="2" applyNumberFormat="1" applyFont="1" applyBorder="1" applyAlignment="1">
      <alignment vertical="center"/>
    </xf>
    <xf numFmtId="2" fontId="0" fillId="0" borderId="0" xfId="2" applyNumberFormat="1" applyFont="1" applyBorder="1" applyAlignment="1">
      <alignment vertical="center"/>
    </xf>
    <xf numFmtId="9" fontId="0" fillId="0" borderId="0" xfId="2" applyFont="1"/>
    <xf numFmtId="0" fontId="15" fillId="9" borderId="42" xfId="0" applyFont="1" applyFill="1" applyBorder="1" applyAlignment="1">
      <alignment horizontal="center" vertical="center"/>
    </xf>
    <xf numFmtId="0" fontId="15" fillId="10" borderId="43" xfId="0" applyFont="1" applyFill="1" applyBorder="1" applyAlignment="1">
      <alignment horizontal="center" vertical="center"/>
    </xf>
    <xf numFmtId="2" fontId="5" fillId="4" borderId="19" xfId="0" applyNumberFormat="1" applyFont="1" applyFill="1" applyBorder="1" applyAlignment="1">
      <alignment vertical="center"/>
    </xf>
    <xf numFmtId="164" fontId="5" fillId="4" borderId="20" xfId="1" applyNumberFormat="1" applyFont="1" applyFill="1" applyBorder="1" applyAlignment="1">
      <alignment vertical="center"/>
    </xf>
    <xf numFmtId="164" fontId="5" fillId="11" borderId="20" xfId="1" applyNumberFormat="1" applyFont="1" applyFill="1" applyBorder="1" applyAlignment="1">
      <alignment vertical="center"/>
    </xf>
    <xf numFmtId="2" fontId="20" fillId="4" borderId="44" xfId="0" applyNumberFormat="1" applyFont="1" applyFill="1" applyBorder="1" applyAlignment="1">
      <alignment vertical="center"/>
    </xf>
    <xf numFmtId="164" fontId="5" fillId="12" borderId="20" xfId="1" applyNumberFormat="1" applyFont="1" applyFill="1" applyBorder="1" applyAlignment="1">
      <alignment vertical="center"/>
    </xf>
    <xf numFmtId="164" fontId="21" fillId="12" borderId="20" xfId="1" applyNumberFormat="1" applyFont="1" applyFill="1" applyBorder="1" applyAlignment="1">
      <alignment vertical="center"/>
    </xf>
    <xf numFmtId="164" fontId="13" fillId="11" borderId="20" xfId="1" applyNumberFormat="1" applyFont="1" applyFill="1" applyBorder="1" applyAlignment="1">
      <alignment vertical="center"/>
    </xf>
    <xf numFmtId="164" fontId="13" fillId="12" borderId="20" xfId="1" applyNumberFormat="1" applyFont="1" applyFill="1" applyBorder="1" applyAlignment="1">
      <alignment vertical="center"/>
    </xf>
    <xf numFmtId="0" fontId="21" fillId="0" borderId="1" xfId="0" quotePrefix="1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left" vertical="center" wrapText="1"/>
    </xf>
    <xf numFmtId="1" fontId="21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/>
    </xf>
    <xf numFmtId="164" fontId="21" fillId="11" borderId="0" xfId="0" applyNumberFormat="1" applyFont="1" applyFill="1" applyAlignment="1">
      <alignment vertical="center"/>
    </xf>
    <xf numFmtId="0" fontId="21" fillId="0" borderId="4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8" xfId="0" applyFont="1" applyBorder="1" applyAlignment="1">
      <alignment horizontal="left" vertical="center"/>
    </xf>
    <xf numFmtId="164" fontId="5" fillId="11" borderId="0" xfId="0" applyNumberFormat="1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164" fontId="21" fillId="0" borderId="0" xfId="1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9" fontId="5" fillId="0" borderId="0" xfId="2" applyFont="1" applyAlignment="1">
      <alignment vertical="center"/>
    </xf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left" vertical="center" wrapText="1"/>
    </xf>
    <xf numFmtId="164" fontId="5" fillId="0" borderId="0" xfId="1" applyNumberFormat="1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21" fillId="0" borderId="32" xfId="0" applyFont="1" applyBorder="1" applyAlignment="1">
      <alignment horizontal="left" vertical="center"/>
    </xf>
    <xf numFmtId="0" fontId="16" fillId="5" borderId="36" xfId="0" applyFont="1" applyFill="1" applyBorder="1" applyAlignment="1">
      <alignment horizontal="left" vertical="center" wrapText="1"/>
    </xf>
    <xf numFmtId="0" fontId="16" fillId="5" borderId="41" xfId="0" applyFont="1" applyFill="1" applyBorder="1" applyAlignment="1">
      <alignment horizontal="left" vertical="center"/>
    </xf>
    <xf numFmtId="0" fontId="15" fillId="5" borderId="3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15" fillId="5" borderId="39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15" fillId="6" borderId="40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41" fontId="9" fillId="0" borderId="2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21" fillId="0" borderId="52" xfId="0" applyFont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inh/Library/CloudStorage/Dropbox/TAM%20SOAT1.xlsx" TargetMode="External"/><Relationship Id="rId1" Type="http://schemas.openxmlformats.org/officeDocument/2006/relationships/externalLinkPath" Target="/Users/tainh/Library/CloudStorage/Dropbox/TAM%20SOA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TẦM SOÁT"/>
      <sheetName val="HSG"/>
      <sheetName val="PNJ"/>
      <sheetName val="HPG"/>
      <sheetName val="NKG"/>
      <sheetName val="DPM"/>
      <sheetName val="SHB"/>
      <sheetName val="VIB"/>
      <sheetName val="FMC"/>
      <sheetName val="ADS"/>
      <sheetName val="CSV"/>
      <sheetName val="STK"/>
      <sheetName val="TNG"/>
      <sheetName val="DPR"/>
      <sheetName val="KHG"/>
      <sheetName val="PAN"/>
      <sheetName val="SZC"/>
      <sheetName val="Sheet1"/>
      <sheetName val="GMD"/>
      <sheetName val="HAG"/>
      <sheetName val="TCM"/>
      <sheetName val="VCG"/>
      <sheetName val="HHV"/>
      <sheetName val="LCG"/>
      <sheetName val="STB"/>
      <sheetName val="ĐTC"/>
      <sheetName val="FRT"/>
      <sheetName val="PVP"/>
      <sheetName val="HDG"/>
      <sheetName val="Sheet2"/>
      <sheetName val="TAM SOAT1"/>
    </sheetNames>
    <sheetDataSet>
      <sheetData sheetId="0">
        <row r="7">
          <cell r="D7" t="str">
            <v>A32</v>
          </cell>
          <cell r="E7" t="str">
            <v>CTCP 32</v>
          </cell>
          <cell r="F7" t="str">
            <v>Sản xuất các sản phẩm da và liên quan</v>
          </cell>
          <cell r="G7" t="str">
            <v>UPCoM</v>
          </cell>
          <cell r="H7">
            <v>6800000</v>
          </cell>
        </row>
        <row r="8">
          <cell r="D8" t="str">
            <v>AAA</v>
          </cell>
          <cell r="E8" t="str">
            <v>CTCP Nhựa An Phát Xanh</v>
          </cell>
          <cell r="F8" t="str">
            <v>Sản xuất các sản phẩm nhựa và cao su</v>
          </cell>
          <cell r="G8" t="str">
            <v>HOSE</v>
          </cell>
          <cell r="H8">
            <v>296759974</v>
          </cell>
        </row>
        <row r="9">
          <cell r="D9" t="str">
            <v>AAM</v>
          </cell>
          <cell r="E9" t="str">
            <v>CTCP Thủy sản MeKong</v>
          </cell>
          <cell r="F9" t="str">
            <v>Sản xuất thực phẩm</v>
          </cell>
          <cell r="G9" t="str">
            <v>HOSE</v>
          </cell>
          <cell r="H9">
            <v>12346411</v>
          </cell>
        </row>
        <row r="10">
          <cell r="D10" t="str">
            <v>AAS</v>
          </cell>
          <cell r="E10" t="str">
            <v>CTCP Chứng khoán SmartInvest</v>
          </cell>
          <cell r="F10" t="str">
            <v>Môi giới chứng khoán, hàng hóa, đầu tư tài chính khác và các hoạt động liên quan</v>
          </cell>
          <cell r="G10" t="str">
            <v>UPCoM</v>
          </cell>
          <cell r="H10">
            <v>31000000</v>
          </cell>
        </row>
        <row r="11">
          <cell r="D11" t="str">
            <v>AAT</v>
          </cell>
          <cell r="E11" t="str">
            <v>CTCP Tiên Sơn Thanh Hóa</v>
          </cell>
          <cell r="F11" t="str">
            <v>Bán buôn hàng tiêu dùng</v>
          </cell>
          <cell r="G11" t="str">
            <v>HOSE</v>
          </cell>
          <cell r="H11">
            <v>34800000</v>
          </cell>
        </row>
        <row r="12">
          <cell r="D12" t="str">
            <v>AAV</v>
          </cell>
          <cell r="E12" t="str">
            <v>CTCP Việt Tiên Sơn Địa ốc</v>
          </cell>
          <cell r="F12" t="str">
            <v>Bán buôn hàng tiêu dùng</v>
          </cell>
          <cell r="G12" t="str">
            <v>HNX</v>
          </cell>
          <cell r="H12">
            <v>31874996</v>
          </cell>
        </row>
        <row r="13">
          <cell r="D13" t="str">
            <v>ABB</v>
          </cell>
          <cell r="E13" t="str">
            <v>Ngân hàng TMCP An Bình</v>
          </cell>
          <cell r="F13" t="str">
            <v>Trung gian tín dụng và các hoạt động liên quan</v>
          </cell>
          <cell r="G13" t="str">
            <v>UPCoM</v>
          </cell>
          <cell r="H13">
            <v>571311355</v>
          </cell>
        </row>
        <row r="14">
          <cell r="D14" t="str">
            <v>ABC</v>
          </cell>
          <cell r="E14" t="str">
            <v>CTCP Truyền thông VMG</v>
          </cell>
          <cell r="F14" t="str">
            <v>Viễn thông</v>
          </cell>
          <cell r="G14" t="str">
            <v>UPCoM</v>
          </cell>
          <cell r="H14">
            <v>20393000</v>
          </cell>
        </row>
        <row r="15">
          <cell r="D15" t="str">
            <v>ABI</v>
          </cell>
          <cell r="E15" t="str">
            <v>CTCP Bảo hiểm Ngân hàng Nông nghiệp Việt Nam</v>
          </cell>
          <cell r="F15" t="str">
            <v>Bảo hiểm và các hoạt động liên quan</v>
          </cell>
          <cell r="G15" t="str">
            <v>UPCoM</v>
          </cell>
          <cell r="H15">
            <v>38000000</v>
          </cell>
        </row>
        <row r="16">
          <cell r="D16" t="str">
            <v>ABR</v>
          </cell>
          <cell r="E16" t="str">
            <v>CTCP Đầu tư Nhãn hiệu Việt</v>
          </cell>
          <cell r="F16" t="str">
            <v>Bán buôn hàng tiêu dùng</v>
          </cell>
          <cell r="G16" t="str">
            <v>UPCoM</v>
          </cell>
          <cell r="H16">
            <v>20000000</v>
          </cell>
        </row>
        <row r="17">
          <cell r="D17" t="str">
            <v>ABS</v>
          </cell>
          <cell r="E17" t="str">
            <v>CTCP Dịch vụ Nông nghiệp Bình Thuận</v>
          </cell>
          <cell r="F17" t="str">
            <v>Bán buôn hàng tiêu dùng</v>
          </cell>
          <cell r="G17" t="str">
            <v>HOSE</v>
          </cell>
          <cell r="H17">
            <v>80000000</v>
          </cell>
        </row>
        <row r="18">
          <cell r="D18" t="str">
            <v>ABT</v>
          </cell>
          <cell r="E18" t="str">
            <v>CTCP Xuất nhập khẩu Thủy sản Bến Tre</v>
          </cell>
          <cell r="F18" t="str">
            <v>Sản xuất thực phẩm</v>
          </cell>
          <cell r="G18" t="str">
            <v>HNX</v>
          </cell>
          <cell r="H18">
            <v>14107207</v>
          </cell>
        </row>
        <row r="19">
          <cell r="D19" t="str">
            <v>ACB</v>
          </cell>
          <cell r="E19" t="str">
            <v>Ngân hàng TMCP Á Châu</v>
          </cell>
          <cell r="F19" t="str">
            <v>Trung gian tín dụng và các hoạt động liên quan</v>
          </cell>
          <cell r="G19" t="str">
            <v>HOSE</v>
          </cell>
          <cell r="H19">
            <v>2701948075</v>
          </cell>
        </row>
        <row r="20">
          <cell r="D20" t="str">
            <v>ACC</v>
          </cell>
          <cell r="E20" t="str">
            <v>CTCP Đầu tư và Xây dựng Bình Dương ACC</v>
          </cell>
          <cell r="F20" t="str">
            <v>Sản xuất sản phẩm khoáng chất phi kim</v>
          </cell>
          <cell r="G20" t="str">
            <v>HOSE</v>
          </cell>
          <cell r="H20">
            <v>30000000</v>
          </cell>
        </row>
        <row r="21">
          <cell r="D21" t="str">
            <v>ACE</v>
          </cell>
          <cell r="E21" t="str">
            <v>CTCP Bê tông Ly tâm An Giang</v>
          </cell>
          <cell r="F21" t="str">
            <v>Sản xuất sản phẩm khoáng chất phi kim</v>
          </cell>
          <cell r="G21" t="str">
            <v>UPCoM</v>
          </cell>
          <cell r="H21">
            <v>3050781</v>
          </cell>
        </row>
        <row r="22">
          <cell r="D22" t="str">
            <v>ACG</v>
          </cell>
          <cell r="E22" t="str">
            <v>CTCP Gỗ An Cường</v>
          </cell>
          <cell r="F22" t="str">
            <v>Sản xuất các sản phẩm gỗ</v>
          </cell>
          <cell r="G22" t="str">
            <v>UPCoM</v>
          </cell>
          <cell r="H22">
            <v>87650344</v>
          </cell>
        </row>
        <row r="23">
          <cell r="D23" t="str">
            <v>ACL</v>
          </cell>
          <cell r="E23" t="str">
            <v>CTCP Xuất nhập khẩu Thủy sản Cửu Long An Giang</v>
          </cell>
          <cell r="F23" t="str">
            <v>Sản xuất thực phẩm</v>
          </cell>
          <cell r="G23" t="str">
            <v>HOSE</v>
          </cell>
          <cell r="H23">
            <v>50159019</v>
          </cell>
        </row>
        <row r="24">
          <cell r="D24" t="str">
            <v>ACM</v>
          </cell>
          <cell r="E24" t="str">
            <v>CTCP Tập đoàn Khoáng sản Á Cường</v>
          </cell>
          <cell r="F24" t="str">
            <v>Khai khoáng (ngoại trừ dầu mỏ và khí đốt)</v>
          </cell>
          <cell r="G24" t="str">
            <v>HNX</v>
          </cell>
          <cell r="H24">
            <v>51000000</v>
          </cell>
        </row>
        <row r="25">
          <cell r="D25" t="str">
            <v>ACS</v>
          </cell>
          <cell r="E25" t="str">
            <v>CTCP Xây lắp Thương mại 2</v>
          </cell>
          <cell r="F25" t="str">
            <v>Xây dựng công nghiệp nặng và dân dụng</v>
          </cell>
          <cell r="G25" t="str">
            <v>UPCoM</v>
          </cell>
          <cell r="H25">
            <v>4000000</v>
          </cell>
        </row>
        <row r="26">
          <cell r="D26" t="str">
            <v>ACV</v>
          </cell>
          <cell r="E26" t="str">
            <v>Tổng Công ty Cảng Hàng không Việt Nam - CTCP</v>
          </cell>
          <cell r="F26" t="str">
            <v>Hỗ trợ vận tải</v>
          </cell>
          <cell r="G26" t="str">
            <v>UPCoM</v>
          </cell>
          <cell r="H26">
            <v>2177173236</v>
          </cell>
        </row>
        <row r="27">
          <cell r="D27" t="str">
            <v>ADC</v>
          </cell>
          <cell r="E27" t="str">
            <v>CTCP Mỹ thuật và Truyền thông</v>
          </cell>
          <cell r="F27" t="str">
            <v>Công nghiệp xuất bản - Ngoại trừ internet</v>
          </cell>
          <cell r="G27" t="str">
            <v>HNX</v>
          </cell>
          <cell r="H27">
            <v>3060000</v>
          </cell>
        </row>
        <row r="28">
          <cell r="D28" t="str">
            <v>ADG</v>
          </cell>
          <cell r="E28" t="str">
            <v>CTCP Clever Group</v>
          </cell>
          <cell r="F28" t="str">
            <v>Quảng cáo, quan hệ công chúng và dịch vụ liên quan</v>
          </cell>
          <cell r="G28" t="str">
            <v>HOSE</v>
          </cell>
          <cell r="H28">
            <v>18000333</v>
          </cell>
        </row>
        <row r="29">
          <cell r="D29" t="str">
            <v>ADP</v>
          </cell>
          <cell r="E29" t="str">
            <v>CTCP Sơn Á Đông</v>
          </cell>
          <cell r="F29" t="str">
            <v>Sản xuất hóa chất, dược phẩm</v>
          </cell>
          <cell r="G29" t="str">
            <v>UPCoM</v>
          </cell>
          <cell r="H29">
            <v>23039850</v>
          </cell>
        </row>
        <row r="30">
          <cell r="D30" t="str">
            <v>ADS</v>
          </cell>
          <cell r="E30" t="str">
            <v>CTCP Damsan</v>
          </cell>
          <cell r="F30" t="str">
            <v>Sản xuất sợi, vải</v>
          </cell>
          <cell r="G30" t="str">
            <v>HOSE</v>
          </cell>
          <cell r="H30">
            <v>28069450</v>
          </cell>
        </row>
        <row r="31">
          <cell r="D31" t="str">
            <v>AFX</v>
          </cell>
          <cell r="E31" t="str">
            <v>CTCP Xuất nhập khẩu Nông sản Thực phẩm An Giang</v>
          </cell>
          <cell r="F31" t="str">
            <v>Sản xuất thực phẩm</v>
          </cell>
          <cell r="G31" t="str">
            <v>UPCoM</v>
          </cell>
          <cell r="H31">
            <v>35000000</v>
          </cell>
        </row>
        <row r="32">
          <cell r="D32" t="str">
            <v>AG1</v>
          </cell>
          <cell r="E32" t="str">
            <v>CTCP 28.1</v>
          </cell>
          <cell r="F32" t="str">
            <v>Sản xuất các sản phẩm may mặc</v>
          </cell>
          <cell r="G32" t="str">
            <v>UPCoM</v>
          </cell>
          <cell r="H32">
            <v>4863386</v>
          </cell>
        </row>
        <row r="33">
          <cell r="D33" t="str">
            <v>AGF</v>
          </cell>
          <cell r="E33" t="str">
            <v>CTCP Xuất nhập khẩu Thủy sản An Giang</v>
          </cell>
          <cell r="F33" t="str">
            <v>Sản xuất thực phẩm</v>
          </cell>
          <cell r="G33" t="str">
            <v>UPCoM</v>
          </cell>
          <cell r="H33">
            <v>28109743</v>
          </cell>
        </row>
        <row r="34">
          <cell r="D34" t="str">
            <v>AGG</v>
          </cell>
          <cell r="E34" t="str">
            <v>CTCP Đầu tư và Phát triển Bất động sản An Gia</v>
          </cell>
          <cell r="F34" t="str">
            <v>Phát triển bất động sản</v>
          </cell>
          <cell r="G34" t="str">
            <v>HOSE</v>
          </cell>
          <cell r="H34">
            <v>82750577</v>
          </cell>
        </row>
        <row r="35">
          <cell r="D35" t="str">
            <v>AGM</v>
          </cell>
          <cell r="E35" t="str">
            <v>CTCP Xuất nhập khẩu An Giang</v>
          </cell>
          <cell r="F35" t="str">
            <v>Sản xuất thực phẩm</v>
          </cell>
          <cell r="G35" t="str">
            <v>HOSE</v>
          </cell>
          <cell r="H35">
            <v>18200000</v>
          </cell>
        </row>
        <row r="36">
          <cell r="D36" t="str">
            <v>AGP</v>
          </cell>
          <cell r="E36" t="str">
            <v>CTCP Dược phẩm Agimexpharm</v>
          </cell>
          <cell r="F36" t="str">
            <v>Sản xuất hóa chất, dược phẩm</v>
          </cell>
          <cell r="G36" t="str">
            <v>UPCoM</v>
          </cell>
          <cell r="H36">
            <v>12835177</v>
          </cell>
        </row>
        <row r="37">
          <cell r="D37" t="str">
            <v>AGR</v>
          </cell>
          <cell r="E37" t="str">
            <v>CTCP Chứng khoán Agribank</v>
          </cell>
          <cell r="F37" t="str">
            <v>Môi giới chứng khoán, hàng hóa, đầu tư tài chính khác và các hoạt động liên quan</v>
          </cell>
          <cell r="G37" t="str">
            <v>HOSE</v>
          </cell>
          <cell r="H37">
            <v>212000000</v>
          </cell>
        </row>
        <row r="38">
          <cell r="D38" t="str">
            <v>AGX</v>
          </cell>
          <cell r="E38" t="str">
            <v>CTCP Thực phẩm Nông Sản xuất khẩu Sài Gòn</v>
          </cell>
          <cell r="F38" t="str">
            <v>Sản xuất thực phẩm</v>
          </cell>
          <cell r="G38" t="str">
            <v>UPCoM</v>
          </cell>
          <cell r="H38">
            <v>10800000</v>
          </cell>
        </row>
        <row r="39">
          <cell r="D39" t="str">
            <v>AIC</v>
          </cell>
          <cell r="E39" t="str">
            <v>Tổng Công ty Cổ phần Bảo hiểm Hàng không</v>
          </cell>
          <cell r="F39" t="str">
            <v>Bảo hiểm và các hoạt động liên quan</v>
          </cell>
          <cell r="G39" t="str">
            <v>UPCoM</v>
          </cell>
          <cell r="H39">
            <v>100000000</v>
          </cell>
        </row>
        <row r="40">
          <cell r="D40" t="str">
            <v>ALT</v>
          </cell>
          <cell r="E40" t="str">
            <v>CTCP Văn hóa Tân Bình</v>
          </cell>
          <cell r="F40" t="str">
            <v>Sản xuất các sản phẩm nhựa và cao su</v>
          </cell>
          <cell r="G40" t="str">
            <v>HNX</v>
          </cell>
          <cell r="H40">
            <v>6172523</v>
          </cell>
        </row>
        <row r="41">
          <cell r="D41" t="str">
            <v>ALV</v>
          </cell>
          <cell r="E41" t="str">
            <v>CTCP Xây dựng ALVICO</v>
          </cell>
          <cell r="F41" t="str">
            <v>Khai khoáng (ngoại trừ dầu mỏ và khí đốt)</v>
          </cell>
          <cell r="G41" t="str">
            <v>UPCoM</v>
          </cell>
          <cell r="H41">
            <v>5657936</v>
          </cell>
        </row>
        <row r="42">
          <cell r="D42" t="str">
            <v>AMC</v>
          </cell>
          <cell r="E42" t="str">
            <v>CTCP Khoáng sản Á Châu</v>
          </cell>
          <cell r="F42" t="str">
            <v>Khai khoáng (ngoại trừ dầu mỏ và khí đốt)</v>
          </cell>
          <cell r="G42" t="str">
            <v>HNX</v>
          </cell>
          <cell r="H42">
            <v>2850000</v>
          </cell>
        </row>
        <row r="43">
          <cell r="D43" t="str">
            <v>AMD</v>
          </cell>
          <cell r="E43" t="str">
            <v>CTCP Đầu tư và Khoáng sản FLC Stone</v>
          </cell>
          <cell r="F43" t="str">
            <v>Kinh doanh vật liệu xây dựng, trang thiết bị làm vườn</v>
          </cell>
          <cell r="G43" t="str">
            <v>HOSE</v>
          </cell>
          <cell r="H43">
            <v>163504874</v>
          </cell>
        </row>
        <row r="44">
          <cell r="D44" t="str">
            <v>AME</v>
          </cell>
          <cell r="E44" t="str">
            <v>CTCP Alphanam E&amp;C</v>
          </cell>
          <cell r="F44" t="str">
            <v>Xây dựng nhà cửa, cao ốc</v>
          </cell>
          <cell r="G44" t="str">
            <v>HNX</v>
          </cell>
          <cell r="H44">
            <v>25200000</v>
          </cell>
        </row>
        <row r="45">
          <cell r="D45" t="str">
            <v>AMP</v>
          </cell>
          <cell r="E45" t="str">
            <v>CTCP Armephaco</v>
          </cell>
          <cell r="F45" t="str">
            <v>Bán buôn hàng lâu bền</v>
          </cell>
          <cell r="G45" t="str">
            <v>UPCoM</v>
          </cell>
          <cell r="H45">
            <v>13000000</v>
          </cell>
        </row>
        <row r="46">
          <cell r="D46" t="str">
            <v>AMS</v>
          </cell>
          <cell r="E46" t="str">
            <v>CTCP Cơ khí Xây dựng AMECC</v>
          </cell>
          <cell r="F46" t="str">
            <v>Sản xuất thiết bị, máy móc</v>
          </cell>
          <cell r="G46" t="str">
            <v>UPCoM</v>
          </cell>
          <cell r="H46">
            <v>36629865</v>
          </cell>
        </row>
        <row r="47">
          <cell r="D47" t="str">
            <v>AMV</v>
          </cell>
          <cell r="E47" t="str">
            <v>CTCP Sản xuất Kinh doanh Dược và Trang thiết bị Y tế Việt Mỹ</v>
          </cell>
          <cell r="F47" t="str">
            <v>Bán buôn hàng lâu bền</v>
          </cell>
          <cell r="G47" t="str">
            <v>HNX</v>
          </cell>
          <cell r="H47">
            <v>53146816</v>
          </cell>
        </row>
        <row r="48">
          <cell r="D48" t="str">
            <v>ANT</v>
          </cell>
          <cell r="E48" t="str">
            <v>CTCP Rau quả Thực phẩm An Giang</v>
          </cell>
          <cell r="F48" t="str">
            <v>Sản xuất thực phẩm</v>
          </cell>
          <cell r="G48" t="str">
            <v>UPCoM</v>
          </cell>
          <cell r="H48">
            <v>6000000</v>
          </cell>
        </row>
        <row r="49">
          <cell r="D49" t="str">
            <v>ANV</v>
          </cell>
          <cell r="E49" t="str">
            <v>CTCP Nam Việt</v>
          </cell>
          <cell r="F49" t="str">
            <v>Sản xuất thực phẩm</v>
          </cell>
          <cell r="G49" t="str">
            <v>HOSE</v>
          </cell>
          <cell r="H49">
            <v>127539625</v>
          </cell>
        </row>
        <row r="50">
          <cell r="D50" t="str">
            <v>APC</v>
          </cell>
          <cell r="E50" t="str">
            <v>CTCP Chiếu xạ An Phú</v>
          </cell>
          <cell r="F50" t="str">
            <v>Hoạt động hỗ trợ cho nông lâm nghiệp</v>
          </cell>
          <cell r="G50" t="str">
            <v>HOSE</v>
          </cell>
          <cell r="H50">
            <v>20121395</v>
          </cell>
        </row>
        <row r="51">
          <cell r="D51" t="str">
            <v>APF</v>
          </cell>
          <cell r="E51" t="str">
            <v>CTCP Nông sản Thực phẩm Quảng Ngãi</v>
          </cell>
          <cell r="F51" t="str">
            <v>Sản xuất thực phẩm</v>
          </cell>
          <cell r="G51" t="str">
            <v>UPCoM</v>
          </cell>
          <cell r="H51">
            <v>20007784</v>
          </cell>
        </row>
        <row r="52">
          <cell r="D52" t="str">
            <v>APG</v>
          </cell>
          <cell r="E52" t="str">
            <v>CTCP Chứng khoán APG</v>
          </cell>
          <cell r="F52" t="str">
            <v>Môi giới chứng khoán, hàng hóa, đầu tư tài chính khác và các hoạt động liên quan</v>
          </cell>
          <cell r="G52" t="str">
            <v>HOSE</v>
          </cell>
          <cell r="H52">
            <v>34028900</v>
          </cell>
        </row>
        <row r="53">
          <cell r="D53" t="str">
            <v>APH</v>
          </cell>
          <cell r="E53" t="str">
            <v>CTCP Tập đoàn An Phát Holdings</v>
          </cell>
          <cell r="F53" t="str">
            <v>Sản xuất các sản phẩm nhựa và cao su</v>
          </cell>
          <cell r="G53" t="str">
            <v>HOSE</v>
          </cell>
          <cell r="H53">
            <v>195107442</v>
          </cell>
        </row>
        <row r="54">
          <cell r="D54" t="str">
            <v>API</v>
          </cell>
          <cell r="E54" t="str">
            <v>CTCP Đầu tư Châu Á - Thái Bình Dương</v>
          </cell>
          <cell r="F54" t="str">
            <v>Phát triển bất động sản</v>
          </cell>
          <cell r="G54" t="str">
            <v>HNX</v>
          </cell>
          <cell r="H54">
            <v>36400000</v>
          </cell>
        </row>
        <row r="55">
          <cell r="D55" t="str">
            <v>APL</v>
          </cell>
          <cell r="E55" t="str">
            <v>CTCP Cơ khí và Thiết bị áp lực - VVMI</v>
          </cell>
          <cell r="F55" t="str">
            <v>Bán buôn hàng lâu bền</v>
          </cell>
          <cell r="G55" t="str">
            <v>UPCoM</v>
          </cell>
          <cell r="H55">
            <v>1200000</v>
          </cell>
        </row>
        <row r="56">
          <cell r="D56" t="str">
            <v>APP</v>
          </cell>
          <cell r="E56" t="str">
            <v>CTCP Phát triển Phụ gia và Sản phẩm Dầu Mỏ</v>
          </cell>
          <cell r="F56" t="str">
            <v>Sản xuất xăng dầu và than đá</v>
          </cell>
          <cell r="G56" t="str">
            <v>HNX</v>
          </cell>
          <cell r="H56">
            <v>4724632</v>
          </cell>
        </row>
        <row r="57">
          <cell r="D57" t="str">
            <v>APS</v>
          </cell>
          <cell r="E57" t="str">
            <v>CTCP Chứng khoán Châu Á Thái Bình Dương</v>
          </cell>
          <cell r="F57" t="str">
            <v>Môi giới chứng khoán, hàng hóa, đầu tư tài chính khác và các hoạt động liên quan</v>
          </cell>
          <cell r="G57" t="str">
            <v>HNX</v>
          </cell>
          <cell r="H57">
            <v>39000000</v>
          </cell>
        </row>
        <row r="58">
          <cell r="D58" t="str">
            <v>APT</v>
          </cell>
          <cell r="E58" t="str">
            <v>CTCP Kinh doanh Thủy Hải Sản Sài Gòn</v>
          </cell>
          <cell r="F58" t="str">
            <v>Chăn nuôi</v>
          </cell>
          <cell r="G58" t="str">
            <v>UPCoM</v>
          </cell>
          <cell r="H58">
            <v>8800000</v>
          </cell>
        </row>
        <row r="59">
          <cell r="D59" t="str">
            <v>ARM</v>
          </cell>
          <cell r="E59" t="str">
            <v>CTCP Xuất nhập khẩu Hàng không</v>
          </cell>
          <cell r="F59" t="str">
            <v>Bán buôn hàng lâu bền</v>
          </cell>
          <cell r="G59" t="str">
            <v>HNX</v>
          </cell>
          <cell r="H59">
            <v>3111283</v>
          </cell>
        </row>
        <row r="60">
          <cell r="D60" t="str">
            <v>ART</v>
          </cell>
          <cell r="E60" t="str">
            <v>CTCP Chứng khoán BOS</v>
          </cell>
          <cell r="F60" t="str">
            <v>Môi giới chứng khoán, hàng hóa, đầu tư tài chính khác và các hoạt động liên quan</v>
          </cell>
          <cell r="G60" t="str">
            <v>HNX</v>
          </cell>
          <cell r="H60">
            <v>96922509</v>
          </cell>
        </row>
        <row r="61">
          <cell r="D61" t="str">
            <v>ASA</v>
          </cell>
          <cell r="E61" t="str">
            <v>CTCP ASA</v>
          </cell>
          <cell r="F61" t="str">
            <v>Xây dựng công nghiệp nặng và dân dụng</v>
          </cell>
          <cell r="G61" t="str">
            <v>UPCoM</v>
          </cell>
          <cell r="H61">
            <v>10000000</v>
          </cell>
        </row>
        <row r="62">
          <cell r="D62" t="str">
            <v>ASG</v>
          </cell>
          <cell r="E62" t="str">
            <v>CTCP Tập đoàn ASG</v>
          </cell>
          <cell r="F62" t="str">
            <v>Hỗ trợ vận tải</v>
          </cell>
          <cell r="G62" t="str">
            <v>HNX</v>
          </cell>
          <cell r="H62">
            <v>63044964</v>
          </cell>
        </row>
        <row r="63">
          <cell r="D63" t="str">
            <v>ASM</v>
          </cell>
          <cell r="E63" t="str">
            <v>CTCP Tập đoàn Sao Mai</v>
          </cell>
          <cell r="F63" t="str">
            <v>Chăn nuôi</v>
          </cell>
          <cell r="G63" t="str">
            <v>HOSE</v>
          </cell>
          <cell r="H63">
            <v>258867849</v>
          </cell>
        </row>
        <row r="64">
          <cell r="D64" t="str">
            <v>ASP</v>
          </cell>
          <cell r="E64" t="str">
            <v>CTCP Tập đoàn Dầu khí An Pha</v>
          </cell>
          <cell r="F64" t="str">
            <v>Phân phối khí đốt thiên nhiên</v>
          </cell>
          <cell r="G64" t="str">
            <v>HOSE</v>
          </cell>
          <cell r="H64">
            <v>37339929</v>
          </cell>
        </row>
        <row r="65">
          <cell r="D65" t="str">
            <v>AST</v>
          </cell>
          <cell r="E65" t="str">
            <v>CTCP Dịch vụ Hàng không Taseco</v>
          </cell>
          <cell r="F65" t="str">
            <v>Của hàng hàng hóa tổng hợp</v>
          </cell>
          <cell r="G65" t="str">
            <v>HOSE</v>
          </cell>
          <cell r="H65">
            <v>45000000</v>
          </cell>
        </row>
        <row r="66">
          <cell r="D66" t="str">
            <v>ATA</v>
          </cell>
          <cell r="E66" t="str">
            <v>CTCP Ntaco</v>
          </cell>
          <cell r="F66" t="str">
            <v>Sản xuất thực phẩm</v>
          </cell>
          <cell r="G66" t="str">
            <v>UPCoM</v>
          </cell>
          <cell r="H66">
            <v>11999998</v>
          </cell>
        </row>
        <row r="67">
          <cell r="D67" t="str">
            <v>ATB</v>
          </cell>
          <cell r="E67" t="str">
            <v>CTCP An Thịnh</v>
          </cell>
          <cell r="F67" t="str">
            <v>Xây dựng nhà cửa, cao ốc</v>
          </cell>
          <cell r="G67" t="str">
            <v>UPCoM</v>
          </cell>
          <cell r="H67">
            <v>13884000</v>
          </cell>
        </row>
        <row r="68">
          <cell r="D68" t="str">
            <v>ATG</v>
          </cell>
          <cell r="E68" t="str">
            <v>CTCP An Trường An</v>
          </cell>
          <cell r="F68" t="str">
            <v>Khai khoáng (ngoại trừ dầu mỏ và khí đốt)</v>
          </cell>
          <cell r="G68" t="str">
            <v>UPCoM</v>
          </cell>
          <cell r="H68">
            <v>15220000</v>
          </cell>
        </row>
        <row r="69">
          <cell r="D69" t="str">
            <v>ATS</v>
          </cell>
          <cell r="E69" t="str">
            <v>CTCP Suất ăn Công nghiệp Atesco</v>
          </cell>
          <cell r="F69" t="str">
            <v>Dịch vụ ăn uống</v>
          </cell>
          <cell r="G69" t="str">
            <v>HNX</v>
          </cell>
          <cell r="H69">
            <v>3500000</v>
          </cell>
        </row>
        <row r="70">
          <cell r="D70" t="str">
            <v>AUM</v>
          </cell>
          <cell r="E70" t="str">
            <v>CTCP Vinacafe Sơn Thành</v>
          </cell>
          <cell r="F70" t="str">
            <v>Trồng trọt</v>
          </cell>
          <cell r="G70" t="str">
            <v>UPCoM</v>
          </cell>
          <cell r="H70">
            <v>1000000</v>
          </cell>
        </row>
        <row r="71">
          <cell r="D71" t="str">
            <v>AVC</v>
          </cell>
          <cell r="E71" t="str">
            <v>CTCP Thủy điện A Vương</v>
          </cell>
          <cell r="F71" t="str">
            <v>Phát, truyền tải và phân phối điện năng</v>
          </cell>
          <cell r="G71" t="str">
            <v>UPCoM</v>
          </cell>
          <cell r="H71">
            <v>75052052</v>
          </cell>
        </row>
        <row r="72">
          <cell r="D72" t="str">
            <v>AVF</v>
          </cell>
          <cell r="E72" t="str">
            <v>CTCP Việt An</v>
          </cell>
          <cell r="F72" t="str">
            <v>Sản xuất thực phẩm</v>
          </cell>
          <cell r="G72" t="str">
            <v>UPCoM</v>
          </cell>
          <cell r="H72">
            <v>43338000</v>
          </cell>
        </row>
        <row r="73">
          <cell r="D73" t="str">
            <v>B82</v>
          </cell>
          <cell r="E73" t="str">
            <v>CTCP 482</v>
          </cell>
          <cell r="F73" t="str">
            <v>Xây dựng công nghiệp nặng và dân dụng</v>
          </cell>
          <cell r="G73" t="str">
            <v>UPCoM</v>
          </cell>
          <cell r="H73">
            <v>5000000</v>
          </cell>
        </row>
        <row r="74">
          <cell r="D74" t="str">
            <v>BAB</v>
          </cell>
          <cell r="E74" t="str">
            <v>Ngân hàng TMCP Bắc Á</v>
          </cell>
          <cell r="F74" t="str">
            <v>Trung gian tín dụng và các hoạt động liên quan</v>
          </cell>
          <cell r="G74" t="str">
            <v>HNX</v>
          </cell>
          <cell r="H74">
            <v>708500000</v>
          </cell>
        </row>
        <row r="75">
          <cell r="D75" t="str">
            <v>BAL</v>
          </cell>
          <cell r="E75" t="str">
            <v>CTCP Bao bì Bia - Rượu - Nước giải khát</v>
          </cell>
          <cell r="F75" t="str">
            <v>Sản xuất đồ uống và thuốc lá</v>
          </cell>
          <cell r="G75" t="str">
            <v>UPCoM</v>
          </cell>
          <cell r="H75">
            <v>2000000</v>
          </cell>
        </row>
        <row r="76">
          <cell r="D76" t="str">
            <v>BAX</v>
          </cell>
          <cell r="E76" t="str">
            <v>CTCP Thống Nhất</v>
          </cell>
          <cell r="F76" t="str">
            <v>Bất động sản</v>
          </cell>
          <cell r="G76" t="str">
            <v>HNX</v>
          </cell>
          <cell r="H76">
            <v>8200000</v>
          </cell>
        </row>
        <row r="77">
          <cell r="D77" t="str">
            <v>BBC</v>
          </cell>
          <cell r="E77" t="str">
            <v>CTCP Bibica</v>
          </cell>
          <cell r="F77" t="str">
            <v>Sản xuất thực phẩm</v>
          </cell>
          <cell r="G77" t="str">
            <v>HNX</v>
          </cell>
          <cell r="H77">
            <v>15420782</v>
          </cell>
        </row>
        <row r="78">
          <cell r="D78" t="str">
            <v>BBH</v>
          </cell>
          <cell r="E78" t="str">
            <v>CTCP Bao bì Hoàng Thạch</v>
          </cell>
          <cell r="F78" t="str">
            <v>Sản xuất các sản phẩm nhựa và cao su</v>
          </cell>
          <cell r="G78" t="str">
            <v>UPCoM</v>
          </cell>
          <cell r="H78">
            <v>2047932</v>
          </cell>
        </row>
        <row r="79">
          <cell r="D79" t="str">
            <v>BBM</v>
          </cell>
          <cell r="E79" t="str">
            <v>CTCP Bia Hà Nội - Nam Định</v>
          </cell>
          <cell r="F79" t="str">
            <v>Sản xuất đồ uống và thuốc lá</v>
          </cell>
          <cell r="G79" t="str">
            <v>UPCoM</v>
          </cell>
          <cell r="H79">
            <v>2000000</v>
          </cell>
        </row>
        <row r="80">
          <cell r="D80" t="str">
            <v>BBS</v>
          </cell>
          <cell r="E80" t="str">
            <v>CTCP VICEM Bao bì Bút Sơn</v>
          </cell>
          <cell r="F80" t="str">
            <v>Sản xuất giấy</v>
          </cell>
          <cell r="G80" t="str">
            <v>HNX</v>
          </cell>
          <cell r="H80">
            <v>6000000</v>
          </cell>
        </row>
        <row r="81">
          <cell r="D81" t="str">
            <v>BBT</v>
          </cell>
          <cell r="E81" t="str">
            <v>CTCP Bông Bạch Tuyết</v>
          </cell>
          <cell r="F81" t="str">
            <v>Sản xuất khác</v>
          </cell>
          <cell r="G81" t="str">
            <v>UPCoM</v>
          </cell>
          <cell r="H81">
            <v>9800000</v>
          </cell>
        </row>
        <row r="82">
          <cell r="D82" t="str">
            <v>BCB</v>
          </cell>
          <cell r="E82" t="str">
            <v>CTCP 397</v>
          </cell>
          <cell r="F82" t="str">
            <v>Khai khoáng (ngoại trừ dầu mỏ và khí đốt)</v>
          </cell>
          <cell r="G82" t="str">
            <v>UPCoM</v>
          </cell>
          <cell r="H82">
            <v>5000000</v>
          </cell>
        </row>
        <row r="83">
          <cell r="D83" t="str">
            <v>BCC</v>
          </cell>
          <cell r="E83" t="str">
            <v>CTCP Xi măng Bỉm Sơn</v>
          </cell>
          <cell r="F83" t="str">
            <v>Sản xuất sản phẩm khoáng chất phi kim</v>
          </cell>
          <cell r="G83" t="str">
            <v>HNX</v>
          </cell>
          <cell r="H83">
            <v>123209812</v>
          </cell>
        </row>
        <row r="84">
          <cell r="D84" t="str">
            <v>BCE</v>
          </cell>
          <cell r="E84" t="str">
            <v>CTCP Xây dựng và Giao thông Bình Dương</v>
          </cell>
          <cell r="F84" t="str">
            <v>Phát triển bất động sản</v>
          </cell>
          <cell r="G84" t="str">
            <v>HOSE</v>
          </cell>
          <cell r="H84">
            <v>35000000</v>
          </cell>
        </row>
        <row r="85">
          <cell r="D85" t="str">
            <v>BCF</v>
          </cell>
          <cell r="E85" t="str">
            <v>CTCP Thực phẩm Bích Chi</v>
          </cell>
          <cell r="F85" t="str">
            <v>Sản xuất thực phẩm</v>
          </cell>
          <cell r="G85" t="str">
            <v>HNX</v>
          </cell>
          <cell r="H85">
            <v>21083725</v>
          </cell>
        </row>
        <row r="86">
          <cell r="D86" t="str">
            <v>BCG</v>
          </cell>
          <cell r="E86" t="str">
            <v>CTCP Bamboo Capital</v>
          </cell>
          <cell r="F86" t="str">
            <v>Xây dựng công nghiệp nặng và dân dụng</v>
          </cell>
          <cell r="G86" t="str">
            <v>HOSE</v>
          </cell>
          <cell r="H86">
            <v>207537174</v>
          </cell>
        </row>
        <row r="87">
          <cell r="D87" t="str">
            <v>BCM</v>
          </cell>
          <cell r="E87" t="str">
            <v>Tổng Công ty Đầu tư và Phát triển Công nghiệp – CTCP</v>
          </cell>
          <cell r="F87" t="str">
            <v>Bất động sản</v>
          </cell>
          <cell r="G87" t="str">
            <v>HOSE</v>
          </cell>
          <cell r="H87">
            <v>1035000000</v>
          </cell>
        </row>
        <row r="88">
          <cell r="D88" t="str">
            <v>BCP</v>
          </cell>
          <cell r="E88" t="str">
            <v>CTCP Dược ENLIE</v>
          </cell>
          <cell r="F88" t="str">
            <v>Sản xuất hóa chất, dược phẩm</v>
          </cell>
          <cell r="G88" t="str">
            <v>UPCoM</v>
          </cell>
          <cell r="H88">
            <v>6000000</v>
          </cell>
        </row>
        <row r="89">
          <cell r="D89" t="str">
            <v>BCV</v>
          </cell>
          <cell r="E89" t="str">
            <v>CTCP Du lịch và Thương mại Bằng Giang Cao Bằng - Vimico</v>
          </cell>
          <cell r="F89" t="str">
            <v>Khách sạn và phòng ở</v>
          </cell>
          <cell r="G89" t="str">
            <v>UPCoM</v>
          </cell>
          <cell r="H89">
            <v>1800000</v>
          </cell>
        </row>
        <row r="90">
          <cell r="D90" t="str">
            <v>BDB</v>
          </cell>
          <cell r="E90" t="str">
            <v>CTCP Sách và Thiết bị Bình Định</v>
          </cell>
          <cell r="F90" t="str">
            <v>Công nghiệp xuất bản - Ngoại trừ internet</v>
          </cell>
          <cell r="G90" t="str">
            <v>HNX</v>
          </cell>
          <cell r="H90">
            <v>1126474</v>
          </cell>
        </row>
        <row r="91">
          <cell r="D91" t="str">
            <v>BDG</v>
          </cell>
          <cell r="E91" t="str">
            <v>CTCP May mặc Bình Dương</v>
          </cell>
          <cell r="F91" t="str">
            <v>Sản xuất các sản phẩm may mặc</v>
          </cell>
          <cell r="G91" t="str">
            <v>UPCoM</v>
          </cell>
          <cell r="H91">
            <v>12000000</v>
          </cell>
        </row>
        <row r="92">
          <cell r="D92" t="str">
            <v>BDT</v>
          </cell>
          <cell r="E92" t="str">
            <v>CTCP Xây lắp và Vật liệu Xây dựng Đồng Tháp</v>
          </cell>
          <cell r="F92" t="str">
            <v>Sản xuất sản phẩm khoáng chất phi kim</v>
          </cell>
          <cell r="G92" t="str">
            <v>UPCoM</v>
          </cell>
          <cell r="H92">
            <v>38600000</v>
          </cell>
        </row>
        <row r="93">
          <cell r="D93" t="str">
            <v>BDW</v>
          </cell>
          <cell r="E93" t="str">
            <v>CTCP Cấp thoát nước Bình Định</v>
          </cell>
          <cell r="F93" t="str">
            <v>Nước, chất thải và các hệ thống khác</v>
          </cell>
          <cell r="G93" t="str">
            <v>UPCoM</v>
          </cell>
          <cell r="H93">
            <v>12410800</v>
          </cell>
        </row>
        <row r="94">
          <cell r="D94" t="str">
            <v>BED</v>
          </cell>
          <cell r="E94" t="str">
            <v>CTCP Sách và Thiết bị Trường học Đà Nẵng</v>
          </cell>
          <cell r="F94" t="str">
            <v>Công nghiệp xuất bản - Ngoại trừ internet</v>
          </cell>
          <cell r="G94" t="str">
            <v>HNX</v>
          </cell>
          <cell r="H94">
            <v>3000000</v>
          </cell>
        </row>
        <row r="95">
          <cell r="D95" t="str">
            <v>BEL</v>
          </cell>
          <cell r="E95" t="str">
            <v>CTCP Điện tử Biên Hòa</v>
          </cell>
          <cell r="F95" t="str">
            <v>Sản xuất các sản phẩm điện tử, vi tính</v>
          </cell>
          <cell r="G95" t="str">
            <v>UPCoM</v>
          </cell>
          <cell r="H95">
            <v>6000000</v>
          </cell>
        </row>
        <row r="96">
          <cell r="D96" t="str">
            <v>BFC</v>
          </cell>
          <cell r="E96" t="str">
            <v>CTCP Phân bón Bình Điền</v>
          </cell>
          <cell r="F96" t="str">
            <v>Sản xuất hóa chất, dược phẩm</v>
          </cell>
          <cell r="G96" t="str">
            <v>HOSE</v>
          </cell>
          <cell r="H96">
            <v>57167993</v>
          </cell>
        </row>
        <row r="97">
          <cell r="D97" t="str">
            <v>BGW</v>
          </cell>
          <cell r="E97" t="str">
            <v>CTCP Nước sạch Bắc Giang</v>
          </cell>
          <cell r="F97" t="str">
            <v>Nước, chất thải và các hệ thống khác</v>
          </cell>
          <cell r="G97" t="str">
            <v>UPCoM</v>
          </cell>
          <cell r="H97">
            <v>18149446</v>
          </cell>
        </row>
        <row r="98">
          <cell r="D98" t="str">
            <v>BHA</v>
          </cell>
          <cell r="E98" t="str">
            <v>CTCP Thủy điện Bắc Hà</v>
          </cell>
          <cell r="F98" t="str">
            <v>Phát, truyền tải và phân phối điện năng</v>
          </cell>
          <cell r="G98" t="str">
            <v>UPCoM</v>
          </cell>
          <cell r="H98">
            <v>66000000</v>
          </cell>
        </row>
        <row r="99">
          <cell r="D99" t="str">
            <v>BHC</v>
          </cell>
          <cell r="E99" t="str">
            <v>CTCP Bê tông Biên Hòa</v>
          </cell>
          <cell r="F99" t="str">
            <v>Sản xuất sản phẩm khoáng chất phi kim</v>
          </cell>
          <cell r="G99" t="str">
            <v>UPCoM</v>
          </cell>
          <cell r="H99">
            <v>4500000</v>
          </cell>
        </row>
        <row r="100">
          <cell r="D100" t="str">
            <v>BHG</v>
          </cell>
          <cell r="E100" t="str">
            <v>CTCP Chè Biển Hồ</v>
          </cell>
          <cell r="F100" t="str">
            <v>Trồng trọt</v>
          </cell>
          <cell r="G100" t="str">
            <v>UPCoM</v>
          </cell>
          <cell r="H100">
            <v>8935643</v>
          </cell>
        </row>
        <row r="101">
          <cell r="D101" t="str">
            <v>BHK</v>
          </cell>
          <cell r="E101" t="str">
            <v>CTCP Bia Hà Nội - Kim Bài</v>
          </cell>
          <cell r="F101" t="str">
            <v>Sản xuất đồ uống và thuốc lá</v>
          </cell>
          <cell r="G101" t="str">
            <v>UPCoM</v>
          </cell>
          <cell r="H101">
            <v>3986000</v>
          </cell>
        </row>
        <row r="102">
          <cell r="D102" t="str">
            <v>BHN</v>
          </cell>
          <cell r="E102" t="str">
            <v>Tổng Công ty cổ phần Bia - Rượu - Nước giải khát Hà Nội</v>
          </cell>
          <cell r="F102" t="str">
            <v>Sản xuất đồ uống và thuốc lá</v>
          </cell>
          <cell r="G102" t="str">
            <v>HOSE</v>
          </cell>
          <cell r="H102">
            <v>231800000</v>
          </cell>
        </row>
        <row r="103">
          <cell r="D103" t="str">
            <v>BHP</v>
          </cell>
          <cell r="E103" t="str">
            <v>CTCP Bia Hà Nội - Hải Phòng</v>
          </cell>
          <cell r="F103" t="str">
            <v>Sản xuất đồ uống và thuốc lá</v>
          </cell>
          <cell r="G103" t="str">
            <v>UPCoM</v>
          </cell>
          <cell r="H103">
            <v>9179290</v>
          </cell>
        </row>
        <row r="104">
          <cell r="D104" t="str">
            <v>BHT</v>
          </cell>
          <cell r="E104" t="str">
            <v>CTCP Đầu tư Xây dựng Bạch Đằng TMC</v>
          </cell>
          <cell r="F104" t="str">
            <v>Xây dựng nhà cửa, cao ốc</v>
          </cell>
          <cell r="G104" t="str">
            <v>UPCoM</v>
          </cell>
          <cell r="H104">
            <v>4565000</v>
          </cell>
        </row>
        <row r="105">
          <cell r="D105" t="str">
            <v>BIC</v>
          </cell>
          <cell r="E105" t="str">
            <v>Tổng Công ty cổ phần Bảo hiểm Ngân hàng Đầu tư và Phát triển Việt Nam</v>
          </cell>
          <cell r="F105" t="str">
            <v>Bảo hiểm và các hoạt động liên quan</v>
          </cell>
          <cell r="G105" t="str">
            <v>HOSE</v>
          </cell>
          <cell r="H105">
            <v>117276895</v>
          </cell>
        </row>
        <row r="106">
          <cell r="D106" t="str">
            <v>BID</v>
          </cell>
          <cell r="E106" t="str">
            <v>Ngân hàng TMCP Đầu tư và Phát triển Việt Nam</v>
          </cell>
          <cell r="F106" t="str">
            <v>Trung gian tín dụng và các hoạt động liên quan</v>
          </cell>
          <cell r="G106" t="str">
            <v>HOSE</v>
          </cell>
          <cell r="H106">
            <v>4022018040</v>
          </cell>
        </row>
        <row r="107">
          <cell r="D107" t="str">
            <v>BII</v>
          </cell>
          <cell r="E107" t="str">
            <v>CTCP Louis Land</v>
          </cell>
          <cell r="F107" t="str">
            <v>Bất động sản</v>
          </cell>
          <cell r="G107" t="str">
            <v>HNX</v>
          </cell>
          <cell r="H107">
            <v>57680000</v>
          </cell>
        </row>
        <row r="108">
          <cell r="D108" t="str">
            <v>BIO</v>
          </cell>
          <cell r="E108" t="str">
            <v>CTCP Vắc xin và Sinh phẩm Nha Trang</v>
          </cell>
          <cell r="F108" t="str">
            <v>Sản xuất hóa chất, dược phẩm</v>
          </cell>
          <cell r="G108" t="str">
            <v>UPCoM</v>
          </cell>
          <cell r="H108">
            <v>8562000</v>
          </cell>
        </row>
        <row r="109">
          <cell r="D109" t="str">
            <v>BKC</v>
          </cell>
          <cell r="E109" t="str">
            <v>CTCP khoáng sản Bắc Kạn</v>
          </cell>
          <cell r="F109" t="str">
            <v>Khai khoáng (ngoại trừ dầu mỏ và khí đốt)</v>
          </cell>
          <cell r="G109" t="str">
            <v>HNX</v>
          </cell>
          <cell r="H109">
            <v>11737728</v>
          </cell>
        </row>
        <row r="110">
          <cell r="D110" t="str">
            <v>BKG</v>
          </cell>
          <cell r="E110" t="str">
            <v>CTCP Đầu tư BKG Việt Nam</v>
          </cell>
          <cell r="F110" t="str">
            <v>Sản xuất các sản phẩm gỗ</v>
          </cell>
          <cell r="G110" t="str">
            <v>HOSE</v>
          </cell>
          <cell r="H110">
            <v>32000000</v>
          </cell>
        </row>
        <row r="111">
          <cell r="D111" t="str">
            <v>BKH</v>
          </cell>
          <cell r="E111" t="str">
            <v>CTCP Bánh mứt kẹo Hà Nội</v>
          </cell>
          <cell r="F111" t="str">
            <v>Sản xuất thực phẩm</v>
          </cell>
          <cell r="G111" t="str">
            <v>UPCoM</v>
          </cell>
          <cell r="H111">
            <v>1750000</v>
          </cell>
        </row>
        <row r="112">
          <cell r="D112" t="str">
            <v>BLF</v>
          </cell>
          <cell r="E112" t="str">
            <v>CTCP Thủy sản Bạc Liêu</v>
          </cell>
          <cell r="F112" t="str">
            <v>Sản xuất thực phẩm</v>
          </cell>
          <cell r="G112" t="str">
            <v>HNX</v>
          </cell>
          <cell r="H112">
            <v>11500000</v>
          </cell>
        </row>
        <row r="113">
          <cell r="D113" t="str">
            <v>BLI</v>
          </cell>
          <cell r="E113" t="str">
            <v>Tổng Công ty cổ phần Bảo hiểm Bảo Long</v>
          </cell>
          <cell r="F113" t="str">
            <v>Bảo hiểm và các hoạt động liên quan</v>
          </cell>
          <cell r="G113" t="str">
            <v>UPCoM</v>
          </cell>
          <cell r="H113">
            <v>60000000</v>
          </cell>
        </row>
        <row r="114">
          <cell r="D114" t="str">
            <v>BLN</v>
          </cell>
          <cell r="E114" t="str">
            <v>CTCP Vận tải và Dịch vụ Liên Ninh</v>
          </cell>
          <cell r="F114" t="str">
            <v>Vận tải trung chuyển và vận tải hành khách bằng đường bộ</v>
          </cell>
          <cell r="G114" t="str">
            <v>UPCoM</v>
          </cell>
          <cell r="H114">
            <v>5000000</v>
          </cell>
        </row>
        <row r="115">
          <cell r="D115" t="str">
            <v>BLT</v>
          </cell>
          <cell r="E115" t="str">
            <v>CTCP Lương thực Bình Định</v>
          </cell>
          <cell r="F115" t="str">
            <v>Sản xuất thực phẩm</v>
          </cell>
          <cell r="G115" t="str">
            <v>UPCoM</v>
          </cell>
          <cell r="H115">
            <v>4000000</v>
          </cell>
        </row>
        <row r="116">
          <cell r="D116" t="str">
            <v>BLU</v>
          </cell>
          <cell r="E116" t="str">
            <v>Trung tâm Dịch vụ Đô thị tỉnh Bạc Liêu</v>
          </cell>
          <cell r="F116" t="str">
            <v>Dịch vụ quản lý và tái chế chất thải</v>
          </cell>
          <cell r="G116" t="str">
            <v>UPCoM</v>
          </cell>
          <cell r="H116">
            <v>1337600</v>
          </cell>
        </row>
        <row r="117">
          <cell r="D117" t="str">
            <v>BLW</v>
          </cell>
          <cell r="E117" t="str">
            <v>CTCP Cấp nước Bạc Liêu</v>
          </cell>
          <cell r="F117" t="str">
            <v>Nước, chất thải và các hệ thống khác</v>
          </cell>
          <cell r="G117" t="str">
            <v>UPCoM</v>
          </cell>
          <cell r="H117">
            <v>11168800</v>
          </cell>
        </row>
        <row r="118">
          <cell r="D118" t="str">
            <v>BMC</v>
          </cell>
          <cell r="E118" t="str">
            <v>CTCP Khoáng sản Bình Định</v>
          </cell>
          <cell r="F118" t="str">
            <v>Khai khoáng (ngoại trừ dầu mỏ và khí đốt)</v>
          </cell>
          <cell r="G118" t="str">
            <v>HOSE</v>
          </cell>
          <cell r="H118">
            <v>12392630</v>
          </cell>
        </row>
        <row r="119">
          <cell r="D119" t="str">
            <v>BMD</v>
          </cell>
          <cell r="E119" t="str">
            <v>CTCP Môi trường và Dịch vụ Đô thị Bình Thuận</v>
          </cell>
          <cell r="F119" t="str">
            <v>Dịch vụ quản lý và tái chế chất thải</v>
          </cell>
          <cell r="G119" t="str">
            <v>UPCoM</v>
          </cell>
          <cell r="H119">
            <v>2753280</v>
          </cell>
        </row>
        <row r="120">
          <cell r="D120" t="str">
            <v>BMF</v>
          </cell>
          <cell r="E120" t="str">
            <v>CTCP Vật liệu Xây dựng và Chất đốt Đồng Nai</v>
          </cell>
          <cell r="F120" t="str">
            <v>Trạm xăng</v>
          </cell>
          <cell r="G120" t="str">
            <v>UPCoM</v>
          </cell>
          <cell r="H120">
            <v>4159600</v>
          </cell>
        </row>
        <row r="121">
          <cell r="D121" t="str">
            <v>BMG</v>
          </cell>
          <cell r="E121" t="str">
            <v>CTCP May Bình Minh</v>
          </cell>
          <cell r="F121" t="str">
            <v>Sản xuất các sản phẩm may mặc</v>
          </cell>
          <cell r="G121" t="str">
            <v>UPCoM</v>
          </cell>
          <cell r="H121">
            <v>5292000</v>
          </cell>
        </row>
        <row r="122">
          <cell r="D122" t="str">
            <v>BMI</v>
          </cell>
          <cell r="E122" t="str">
            <v>Tổng Công ty cổ phần Bảo Minh</v>
          </cell>
          <cell r="F122" t="str">
            <v>Bảo hiểm và các hoạt động liên quan</v>
          </cell>
          <cell r="G122" t="str">
            <v>HOSE</v>
          </cell>
          <cell r="H122">
            <v>91354037</v>
          </cell>
        </row>
        <row r="123">
          <cell r="D123" t="str">
            <v>BMJ</v>
          </cell>
          <cell r="E123" t="str">
            <v>CTCP Khoáng sản Miền Đông AHP</v>
          </cell>
          <cell r="F123" t="str">
            <v>Khai khoáng (ngoại trừ dầu mỏ và khí đốt)</v>
          </cell>
          <cell r="G123" t="str">
            <v>UPCoM</v>
          </cell>
          <cell r="H123">
            <v>30000000</v>
          </cell>
        </row>
        <row r="124">
          <cell r="D124" t="str">
            <v>BMN</v>
          </cell>
          <cell r="E124" t="str">
            <v>CTCP 715</v>
          </cell>
          <cell r="F124" t="str">
            <v>Xây dựng công nghiệp nặng và dân dụng</v>
          </cell>
          <cell r="G124" t="str">
            <v>UPCoM</v>
          </cell>
          <cell r="H124">
            <v>2750000</v>
          </cell>
        </row>
        <row r="125">
          <cell r="D125" t="str">
            <v>BMP</v>
          </cell>
          <cell r="E125" t="str">
            <v>CTCP Nhựa Bình Minh</v>
          </cell>
          <cell r="F125" t="str">
            <v>Sản xuất các sản phẩm nhựa và cao su</v>
          </cell>
          <cell r="G125" t="str">
            <v>HOSE</v>
          </cell>
          <cell r="H125">
            <v>81860938</v>
          </cell>
        </row>
        <row r="126">
          <cell r="D126" t="str">
            <v>BMS</v>
          </cell>
          <cell r="E126" t="str">
            <v>CTCP Chứng khoán Bảo Minh</v>
          </cell>
          <cell r="F126" t="str">
            <v>Môi giới chứng khoán, hàng hóa, đầu tư tài chính khác và các hoạt động liên quan</v>
          </cell>
          <cell r="G126" t="str">
            <v>UPCoM</v>
          </cell>
          <cell r="H126">
            <v>50000000</v>
          </cell>
        </row>
        <row r="127">
          <cell r="D127" t="str">
            <v>BMV</v>
          </cell>
          <cell r="E127" t="str">
            <v>CTCP Bột mỳ Vinafood 1</v>
          </cell>
          <cell r="F127" t="str">
            <v>Sản xuất thực phẩm</v>
          </cell>
          <cell r="G127" t="str">
            <v>UPCoM</v>
          </cell>
          <cell r="H127">
            <v>24200000</v>
          </cell>
        </row>
        <row r="128">
          <cell r="D128" t="str">
            <v>BNA</v>
          </cell>
          <cell r="E128" t="str">
            <v>CTCP Đầu tư Sản xuất Bảo Ngọc</v>
          </cell>
          <cell r="F128" t="str">
            <v>Sản xuất thực phẩm</v>
          </cell>
          <cell r="G128" t="str">
            <v>HNX</v>
          </cell>
          <cell r="H128">
            <v>8000000</v>
          </cell>
        </row>
        <row r="129">
          <cell r="D129" t="str">
            <v>BNW</v>
          </cell>
          <cell r="E129" t="str">
            <v>CTCP Nước sạch Bắc Ninh</v>
          </cell>
          <cell r="F129" t="str">
            <v>Nước, chất thải và các hệ thống khác</v>
          </cell>
          <cell r="G129" t="str">
            <v>UPCoM</v>
          </cell>
          <cell r="H129">
            <v>37549391</v>
          </cell>
        </row>
        <row r="130">
          <cell r="D130" t="str">
            <v>BOT</v>
          </cell>
          <cell r="E130" t="str">
            <v>CTCP BOT Cầu Thái Hà</v>
          </cell>
          <cell r="F130" t="str">
            <v>Xây dựng công nghiệp nặng và dân dụng</v>
          </cell>
          <cell r="G130" t="str">
            <v>UPCoM</v>
          </cell>
          <cell r="H130">
            <v>48500000</v>
          </cell>
        </row>
        <row r="131">
          <cell r="D131" t="str">
            <v>BPC</v>
          </cell>
          <cell r="E131" t="str">
            <v>CTCP VICEM Bao bì Bỉm Sơn</v>
          </cell>
          <cell r="F131" t="str">
            <v>Sản xuất giấy</v>
          </cell>
          <cell r="G131" t="str">
            <v>HNX</v>
          </cell>
          <cell r="H131">
            <v>3800000</v>
          </cell>
        </row>
        <row r="132">
          <cell r="D132" t="str">
            <v>BPW</v>
          </cell>
          <cell r="E132" t="str">
            <v>CTCP Cấp thoát nước Bình Phước</v>
          </cell>
          <cell r="F132" t="str">
            <v>Nước, chất thải và các hệ thống khác</v>
          </cell>
          <cell r="G132" t="str">
            <v>UPCoM</v>
          </cell>
          <cell r="H132">
            <v>13203858</v>
          </cell>
        </row>
        <row r="133">
          <cell r="D133" t="str">
            <v>BQB</v>
          </cell>
          <cell r="E133" t="str">
            <v>CTCP Bia Hà Nội - Quảng Bình</v>
          </cell>
          <cell r="F133" t="str">
            <v>Sản xuất đồ uống và thuốc lá</v>
          </cell>
          <cell r="G133" t="str">
            <v>UPCoM</v>
          </cell>
          <cell r="H133">
            <v>5800000</v>
          </cell>
        </row>
        <row r="134">
          <cell r="D134" t="str">
            <v>BRC</v>
          </cell>
          <cell r="E134" t="str">
            <v>CTCP Cao su Bến Thành</v>
          </cell>
          <cell r="F134" t="str">
            <v>Sản xuất các sản phẩm nhựa và cao su</v>
          </cell>
          <cell r="G134" t="str">
            <v>HOSE</v>
          </cell>
          <cell r="H134">
            <v>12374997</v>
          </cell>
        </row>
        <row r="135">
          <cell r="D135" t="str">
            <v>BRR</v>
          </cell>
          <cell r="E135" t="str">
            <v>CTCP Cao su Bà Rịa</v>
          </cell>
          <cell r="F135" t="str">
            <v>Sản xuất hóa chất, dược phẩm</v>
          </cell>
          <cell r="G135" t="str">
            <v>UPCoM</v>
          </cell>
          <cell r="H135">
            <v>112500000</v>
          </cell>
        </row>
        <row r="136">
          <cell r="D136" t="str">
            <v>BRS</v>
          </cell>
          <cell r="E136" t="str">
            <v>CTCP Dịch vụ Đô thị Bà Rịa</v>
          </cell>
          <cell r="F136" t="str">
            <v>Nước, chất thải và các hệ thống khác</v>
          </cell>
          <cell r="G136" t="str">
            <v>UPCoM</v>
          </cell>
          <cell r="H136">
            <v>4541950</v>
          </cell>
        </row>
        <row r="137">
          <cell r="D137" t="str">
            <v>BSA</v>
          </cell>
          <cell r="E137" t="str">
            <v>CTCP Thủy điện Buôn Đôn</v>
          </cell>
          <cell r="F137" t="str">
            <v>Phát, truyền tải và phân phối điện năng</v>
          </cell>
          <cell r="G137" t="str">
            <v>UPCoM</v>
          </cell>
          <cell r="H137">
            <v>60018942</v>
          </cell>
        </row>
        <row r="138">
          <cell r="D138" t="str">
            <v>BSC</v>
          </cell>
          <cell r="E138" t="str">
            <v>CTCP Dịch vụ Bến Thành</v>
          </cell>
          <cell r="F138" t="str">
            <v>Kho bãi</v>
          </cell>
          <cell r="G138" t="str">
            <v>HNX</v>
          </cell>
          <cell r="H138">
            <v>3150747</v>
          </cell>
        </row>
        <row r="139">
          <cell r="D139" t="str">
            <v>BSD</v>
          </cell>
          <cell r="E139" t="str">
            <v>CTCP Bia, Rượu Sài Gòn - Đồng Xuân</v>
          </cell>
          <cell r="F139" t="str">
            <v>Sản xuất đồ uống và thuốc lá</v>
          </cell>
          <cell r="G139" t="str">
            <v>UPCoM</v>
          </cell>
          <cell r="H139">
            <v>3000000</v>
          </cell>
        </row>
        <row r="140">
          <cell r="D140" t="str">
            <v>BSG</v>
          </cell>
          <cell r="E140" t="str">
            <v>CTCP Xe khách Sài Gòn</v>
          </cell>
          <cell r="F140" t="str">
            <v>Vận tải trung chuyển và vận tải hành khách bằng đường bộ</v>
          </cell>
          <cell r="G140" t="str">
            <v>UPCoM</v>
          </cell>
          <cell r="H140">
            <v>60000000</v>
          </cell>
        </row>
        <row r="141">
          <cell r="D141" t="str">
            <v>BSH</v>
          </cell>
          <cell r="E141" t="str">
            <v>CTCP Bia Sài Gòn - Hà Nội</v>
          </cell>
          <cell r="F141" t="str">
            <v>Sản xuất đồ uống và thuốc lá</v>
          </cell>
          <cell r="G141" t="str">
            <v>UPCoM</v>
          </cell>
          <cell r="H141">
            <v>18000000</v>
          </cell>
        </row>
        <row r="142">
          <cell r="D142" t="str">
            <v>BSI</v>
          </cell>
          <cell r="E142" t="str">
            <v>CTCP Chứng khoán Ngân hàng Đầu tư và Phát triển Việt Nam</v>
          </cell>
          <cell r="F142" t="str">
            <v>Môi giới chứng khoán, hàng hóa, đầu tư tài chính khác và các hoạt động liên quan</v>
          </cell>
          <cell r="G142" t="str">
            <v>HNX</v>
          </cell>
          <cell r="H142">
            <v>122070078</v>
          </cell>
        </row>
        <row r="143">
          <cell r="D143" t="str">
            <v>BSL</v>
          </cell>
          <cell r="E143" t="str">
            <v>CTCP Bia Sài Gòn - Sông Lam</v>
          </cell>
          <cell r="F143" t="str">
            <v>Sản xuất đồ uống và thuốc lá</v>
          </cell>
          <cell r="G143" t="str">
            <v>UPCoM</v>
          </cell>
          <cell r="H143">
            <v>45000000</v>
          </cell>
        </row>
        <row r="144">
          <cell r="D144" t="str">
            <v>BSP</v>
          </cell>
          <cell r="E144" t="str">
            <v>CTCP Bia Sài Gòn - Phú Thọ</v>
          </cell>
          <cell r="F144" t="str">
            <v>Sản xuất đồ uống và thuốc lá</v>
          </cell>
          <cell r="G144" t="str">
            <v>UPCoM</v>
          </cell>
          <cell r="H144">
            <v>12500000</v>
          </cell>
        </row>
        <row r="145">
          <cell r="D145" t="str">
            <v>BSQ</v>
          </cell>
          <cell r="E145" t="str">
            <v>CTCP Bia Sài Gòn - Quảng Ngãi</v>
          </cell>
          <cell r="F145" t="str">
            <v>Sản xuất đồ uống và thuốc lá</v>
          </cell>
          <cell r="G145" t="str">
            <v>UPCoM</v>
          </cell>
          <cell r="H145">
            <v>45000000</v>
          </cell>
        </row>
        <row r="146">
          <cell r="D146" t="str">
            <v>BSR</v>
          </cell>
          <cell r="E146" t="str">
            <v>CTCP Lọc hóa Dầu Bình Sơn</v>
          </cell>
          <cell r="F146" t="str">
            <v>Sản xuất xăng dầu và than đá</v>
          </cell>
          <cell r="G146" t="str">
            <v>UPCoM</v>
          </cell>
          <cell r="H146"/>
        </row>
        <row r="147">
          <cell r="D147" t="str">
            <v>BST</v>
          </cell>
          <cell r="E147" t="str">
            <v>CTCP Sách và Thiết bị Bình Thuận</v>
          </cell>
          <cell r="F147" t="str">
            <v>Công nghiệp xuất bản - Ngoại trừ internet</v>
          </cell>
          <cell r="G147" t="str">
            <v>HNX</v>
          </cell>
          <cell r="H147">
            <v>1100000</v>
          </cell>
        </row>
        <row r="148">
          <cell r="D148" t="str">
            <v>BT1</v>
          </cell>
          <cell r="E148" t="str">
            <v>CTCP Bảo vệ Thực vật 1 Trung Ương</v>
          </cell>
          <cell r="F148" t="str">
            <v>Sản xuất hóa chất, dược phẩm</v>
          </cell>
          <cell r="G148" t="str">
            <v>UPCoM</v>
          </cell>
          <cell r="H148">
            <v>5250000</v>
          </cell>
        </row>
        <row r="149">
          <cell r="D149" t="str">
            <v>BT6</v>
          </cell>
          <cell r="E149" t="str">
            <v>CTCP Beton 6</v>
          </cell>
          <cell r="F149" t="str">
            <v>Sản xuất sản phẩm khoáng chất phi kim</v>
          </cell>
          <cell r="G149" t="str">
            <v>UPCoM</v>
          </cell>
          <cell r="H149">
            <v>32993550</v>
          </cell>
        </row>
        <row r="150">
          <cell r="D150" t="str">
            <v>BTB</v>
          </cell>
          <cell r="E150" t="str">
            <v>CTCP Bia Hà Nội - Thái Bình</v>
          </cell>
          <cell r="F150" t="str">
            <v>Sản xuất đồ uống và thuốc lá</v>
          </cell>
          <cell r="G150" t="str">
            <v>UPCoM</v>
          </cell>
          <cell r="H150">
            <v>7691226</v>
          </cell>
        </row>
        <row r="151">
          <cell r="D151" t="str">
            <v>BTD</v>
          </cell>
          <cell r="E151" t="str">
            <v>CTCP Bê tông Ly tâm Thủ Đức</v>
          </cell>
          <cell r="F151" t="str">
            <v>Sản xuất sản phẩm khoáng chất phi kim</v>
          </cell>
          <cell r="G151" t="str">
            <v>UPCoM</v>
          </cell>
          <cell r="H151">
            <v>6414100</v>
          </cell>
        </row>
        <row r="152">
          <cell r="D152" t="str">
            <v>BTG</v>
          </cell>
          <cell r="E152" t="str">
            <v>CTCP Bao bì Tiền Giang</v>
          </cell>
          <cell r="F152" t="str">
            <v>Sản xuất giấy</v>
          </cell>
          <cell r="G152" t="str">
            <v>UPCoM</v>
          </cell>
          <cell r="H152">
            <v>1190000</v>
          </cell>
        </row>
        <row r="153">
          <cell r="D153" t="str">
            <v>BTH</v>
          </cell>
          <cell r="E153" t="str">
            <v>CTCP Chế tạo Biến thế và Vật liệu Điện Hà Nội</v>
          </cell>
          <cell r="F153" t="str">
            <v>Sản xuất trang thiết bị, dụng cụ điện</v>
          </cell>
          <cell r="G153" t="str">
            <v>UPCoM</v>
          </cell>
          <cell r="H153">
            <v>25000000</v>
          </cell>
        </row>
        <row r="154">
          <cell r="D154" t="str">
            <v>BTN</v>
          </cell>
          <cell r="E154" t="str">
            <v>CTCP Gạch Tuy Nen Bình Định</v>
          </cell>
          <cell r="F154" t="str">
            <v>Sản xuất sản phẩm khoáng chất phi kim</v>
          </cell>
          <cell r="G154" t="str">
            <v>UPCoM</v>
          </cell>
          <cell r="H154">
            <v>4465570</v>
          </cell>
        </row>
        <row r="155">
          <cell r="D155" t="str">
            <v>BTP</v>
          </cell>
          <cell r="E155" t="str">
            <v>CTCP Nhiệt điện Bà Rịa</v>
          </cell>
          <cell r="F155" t="str">
            <v>Phát, truyền tải và phân phối điện năng</v>
          </cell>
          <cell r="G155" t="str">
            <v>HOSE</v>
          </cell>
          <cell r="H155">
            <v>60485600</v>
          </cell>
        </row>
        <row r="156">
          <cell r="D156" t="str">
            <v>BTS</v>
          </cell>
          <cell r="E156" t="str">
            <v>CTCP Xi măng VICEM Bút Sơn</v>
          </cell>
          <cell r="F156" t="str">
            <v>Sản xuất sản phẩm khoáng chất phi kim</v>
          </cell>
          <cell r="G156" t="str">
            <v>HNX</v>
          </cell>
          <cell r="H156">
            <v>123559858</v>
          </cell>
        </row>
        <row r="157">
          <cell r="D157" t="str">
            <v>BTT</v>
          </cell>
          <cell r="E157" t="str">
            <v>CTCP Thương mại Dịch vụ Bến Thành</v>
          </cell>
          <cell r="F157" t="str">
            <v>Của hàng hàng hóa tổng hợp</v>
          </cell>
          <cell r="G157" t="str">
            <v>HOSE</v>
          </cell>
          <cell r="H157">
            <v>13500000</v>
          </cell>
        </row>
        <row r="158">
          <cell r="D158" t="str">
            <v>BTU</v>
          </cell>
          <cell r="E158" t="str">
            <v>CTCP Công trình Đô thị Bến Tre</v>
          </cell>
          <cell r="F158" t="str">
            <v>Dịch vụ quản lý và tái chế chất thải</v>
          </cell>
          <cell r="G158" t="str">
            <v>UPCoM</v>
          </cell>
          <cell r="H158">
            <v>3600000</v>
          </cell>
        </row>
        <row r="159">
          <cell r="D159" t="str">
            <v>BTV</v>
          </cell>
          <cell r="E159" t="str">
            <v>CTCP Dịch vụ Du lịch Bến Thành</v>
          </cell>
          <cell r="F159" t="str">
            <v>Khách sạn và phòng ở</v>
          </cell>
          <cell r="G159" t="str">
            <v>UPCoM</v>
          </cell>
          <cell r="H159">
            <v>25000000</v>
          </cell>
        </row>
        <row r="160">
          <cell r="D160" t="str">
            <v>BTW</v>
          </cell>
          <cell r="E160" t="str">
            <v>CTCP Cấp nước Bến Thành</v>
          </cell>
          <cell r="F160" t="str">
            <v>Nước, chất thải và các hệ thống khác</v>
          </cell>
          <cell r="G160" t="str">
            <v>HNX</v>
          </cell>
          <cell r="H160">
            <v>9360000</v>
          </cell>
        </row>
        <row r="161">
          <cell r="D161" t="str">
            <v>BUD</v>
          </cell>
          <cell r="E161" t="str">
            <v>CTCP Khoa học Công nghệ Việt Nam</v>
          </cell>
          <cell r="F161" t="str">
            <v>Dịch vụ quản lý và tái chế chất thải</v>
          </cell>
          <cell r="G161" t="str">
            <v>UPCoM</v>
          </cell>
          <cell r="H161">
            <v>10000000</v>
          </cell>
        </row>
        <row r="162">
          <cell r="D162" t="str">
            <v>BVB</v>
          </cell>
          <cell r="E162" t="str">
            <v>Ngân hàng TMCP Bản Việt</v>
          </cell>
          <cell r="F162" t="str">
            <v>Trung gian tín dụng và các hoạt động liên quan</v>
          </cell>
          <cell r="G162" t="str">
            <v>UPCoM</v>
          </cell>
          <cell r="H162">
            <v>367090000</v>
          </cell>
        </row>
        <row r="163">
          <cell r="D163" t="str">
            <v>BVG</v>
          </cell>
          <cell r="E163" t="str">
            <v>CTCP GROUP BẮC VIỆT</v>
          </cell>
          <cell r="F163" t="str">
            <v>Sản xuất sản phẩm kim loại tổng hợp</v>
          </cell>
          <cell r="G163" t="str">
            <v>UPCoM</v>
          </cell>
          <cell r="H163">
            <v>9750948</v>
          </cell>
        </row>
        <row r="164">
          <cell r="D164" t="str">
            <v>BVH</v>
          </cell>
          <cell r="E164" t="str">
            <v>Tập đoàn Bảo Việt</v>
          </cell>
          <cell r="F164" t="str">
            <v>Bảo hiểm và các hoạt động liên quan</v>
          </cell>
          <cell r="G164" t="str">
            <v>HOSE</v>
          </cell>
          <cell r="H164">
            <v>742322764</v>
          </cell>
        </row>
        <row r="165">
          <cell r="D165" t="str">
            <v>BVL</v>
          </cell>
          <cell r="E165" t="str">
            <v>CTCP BV Land</v>
          </cell>
          <cell r="F165" t="str">
            <v>Phát triển bất động sản</v>
          </cell>
          <cell r="G165" t="str">
            <v>UPCoM</v>
          </cell>
          <cell r="H165">
            <v>22000000</v>
          </cell>
        </row>
        <row r="166">
          <cell r="D166" t="str">
            <v>BVN</v>
          </cell>
          <cell r="E166" t="str">
            <v>CTCP Bông Việt Nam</v>
          </cell>
          <cell r="F166" t="str">
            <v>Sản xuất sợi, vải</v>
          </cell>
          <cell r="G166" t="str">
            <v>UPCoM</v>
          </cell>
          <cell r="H166"/>
        </row>
        <row r="167">
          <cell r="D167" t="str">
            <v>BVS</v>
          </cell>
          <cell r="E167" t="str">
            <v>CTCP Chứng khoán Bảo Việt</v>
          </cell>
          <cell r="F167" t="str">
            <v>Môi giới chứng khoán, hàng hóa, đầu tư tài chính khác và các hoạt động liên quan</v>
          </cell>
          <cell r="G167" t="str">
            <v>HNX</v>
          </cell>
          <cell r="H167">
            <v>72233937</v>
          </cell>
        </row>
        <row r="168">
          <cell r="D168" t="str">
            <v>BWA</v>
          </cell>
          <cell r="E168" t="str">
            <v>CTCP Cấp thoát nước và Xây dựng Bảo Lộc</v>
          </cell>
          <cell r="F168" t="str">
            <v>Nước, chất thải và các hệ thống khác</v>
          </cell>
          <cell r="G168" t="str">
            <v>UPCoM</v>
          </cell>
          <cell r="H168">
            <v>2700000</v>
          </cell>
        </row>
        <row r="169">
          <cell r="D169" t="str">
            <v>BWE</v>
          </cell>
          <cell r="E169" t="str">
            <v>CTCP Nước - Môi trường Bình Dương</v>
          </cell>
          <cell r="F169" t="str">
            <v>Nước, chất thải và các hệ thống khác</v>
          </cell>
          <cell r="G169" t="str">
            <v>HOSE</v>
          </cell>
          <cell r="H169">
            <v>192920000</v>
          </cell>
        </row>
        <row r="170">
          <cell r="D170" t="str">
            <v>BWS</v>
          </cell>
          <cell r="E170" t="str">
            <v>CTCP Cấp nước Bà Rịa - Vũng Tàu</v>
          </cell>
          <cell r="F170" t="str">
            <v>Nước, chất thải và các hệ thống khác</v>
          </cell>
          <cell r="G170" t="str">
            <v>UPCoM</v>
          </cell>
          <cell r="H170">
            <v>90000000</v>
          </cell>
        </row>
        <row r="171">
          <cell r="D171" t="str">
            <v>BXH</v>
          </cell>
          <cell r="E171" t="str">
            <v>CTCP VICEM Bao bì Hải Phòng</v>
          </cell>
          <cell r="F171" t="str">
            <v>Sản xuất giấy</v>
          </cell>
          <cell r="G171" t="str">
            <v>HNX</v>
          </cell>
          <cell r="H171">
            <v>3012040</v>
          </cell>
        </row>
        <row r="172">
          <cell r="D172" t="str">
            <v>BXT</v>
          </cell>
          <cell r="E172" t="str">
            <v>CTCP Bến xe Tàu Hậu Giang</v>
          </cell>
          <cell r="F172" t="str">
            <v>Hỗ trợ vận tải</v>
          </cell>
          <cell r="G172" t="str">
            <v>UPCoM</v>
          </cell>
          <cell r="H172">
            <v>63400</v>
          </cell>
        </row>
        <row r="173">
          <cell r="D173" t="str">
            <v>C12</v>
          </cell>
          <cell r="E173" t="str">
            <v>CTCP Cầu 12</v>
          </cell>
          <cell r="F173" t="str">
            <v>Xây dựng công nghiệp nặng và dân dụng</v>
          </cell>
          <cell r="G173" t="str">
            <v>UPCoM</v>
          </cell>
          <cell r="H173">
            <v>4850000</v>
          </cell>
        </row>
        <row r="174">
          <cell r="D174" t="str">
            <v>C21</v>
          </cell>
          <cell r="E174" t="str">
            <v>CTCP Thế Kỷ 21</v>
          </cell>
          <cell r="F174" t="str">
            <v>Phát triển bất động sản</v>
          </cell>
          <cell r="G174" t="str">
            <v>UPCoM</v>
          </cell>
          <cell r="H174">
            <v>19336371</v>
          </cell>
        </row>
        <row r="175">
          <cell r="D175" t="str">
            <v>C22</v>
          </cell>
          <cell r="E175" t="str">
            <v>CTCP 22</v>
          </cell>
          <cell r="F175" t="str">
            <v>Sản xuất thực phẩm</v>
          </cell>
          <cell r="G175" t="str">
            <v>UPCoM</v>
          </cell>
          <cell r="H175">
            <v>3550000</v>
          </cell>
        </row>
        <row r="176">
          <cell r="D176" t="str">
            <v>C32</v>
          </cell>
          <cell r="E176" t="str">
            <v>CTCP CIC39</v>
          </cell>
          <cell r="F176" t="str">
            <v>Khai khoáng (ngoại trừ dầu mỏ và khí đốt)</v>
          </cell>
          <cell r="G176" t="str">
            <v>HOSE</v>
          </cell>
          <cell r="H176">
            <v>15030145</v>
          </cell>
        </row>
        <row r="177">
          <cell r="D177" t="str">
            <v>C36</v>
          </cell>
          <cell r="E177" t="str">
            <v>CTCP Quản lý và Xây dựng Công trình Giao thông 236</v>
          </cell>
          <cell r="F177" t="str">
            <v>Xây dựng công nghiệp nặng và dân dụng</v>
          </cell>
          <cell r="G177" t="str">
            <v>UPCoM</v>
          </cell>
          <cell r="H177">
            <v>1123500</v>
          </cell>
        </row>
        <row r="178">
          <cell r="D178" t="str">
            <v>C47</v>
          </cell>
          <cell r="E178" t="str">
            <v>CTCP Xây dựng 47</v>
          </cell>
          <cell r="F178" t="str">
            <v>Xây dựng công nghiệp nặng và dân dụng</v>
          </cell>
          <cell r="G178" t="str">
            <v>HOSE</v>
          </cell>
          <cell r="H178">
            <v>18722143</v>
          </cell>
        </row>
        <row r="179">
          <cell r="D179" t="str">
            <v>C4G</v>
          </cell>
          <cell r="E179" t="str">
            <v>CTCP Tập đoàn CIENCO4</v>
          </cell>
          <cell r="F179" t="str">
            <v>Xây dựng công nghiệp nặng và dân dụng</v>
          </cell>
          <cell r="G179" t="str">
            <v>UPCoM</v>
          </cell>
          <cell r="H179">
            <v>105999914</v>
          </cell>
        </row>
        <row r="180">
          <cell r="D180" t="str">
            <v>C69</v>
          </cell>
          <cell r="E180" t="str">
            <v>CTCP Xây dựng 1369</v>
          </cell>
          <cell r="F180" t="str">
            <v>Xây dựng nhà cửa, cao ốc</v>
          </cell>
          <cell r="G180" t="str">
            <v>HNX</v>
          </cell>
          <cell r="H180">
            <v>30000000</v>
          </cell>
        </row>
        <row r="181">
          <cell r="D181" t="str">
            <v>C71</v>
          </cell>
          <cell r="E181" t="str">
            <v>CTCP 471</v>
          </cell>
          <cell r="F181" t="str">
            <v>Xây dựng công nghiệp nặng và dân dụng</v>
          </cell>
          <cell r="G181" t="str">
            <v>UPCoM</v>
          </cell>
          <cell r="H181">
            <v>5000000</v>
          </cell>
        </row>
        <row r="182">
          <cell r="D182" t="str">
            <v>C92</v>
          </cell>
          <cell r="E182" t="str">
            <v>CTCP Xây dựng và Đầu tư 492</v>
          </cell>
          <cell r="F182" t="str">
            <v>Xây dựng công nghiệp nặng và dân dụng</v>
          </cell>
          <cell r="G182" t="str">
            <v>HNX</v>
          </cell>
          <cell r="H182">
            <v>5312920</v>
          </cell>
        </row>
        <row r="183">
          <cell r="D183" t="str">
            <v>CAB</v>
          </cell>
          <cell r="E183" t="str">
            <v>CTCP Tổng Công ty Truyền hình Cáp Việt Nam</v>
          </cell>
          <cell r="F183" t="str">
            <v>Phát sóng - Ngoại trừ internet</v>
          </cell>
          <cell r="G183" t="str">
            <v>UPCoM</v>
          </cell>
          <cell r="H183">
            <v>45745876</v>
          </cell>
        </row>
        <row r="184">
          <cell r="D184" t="str">
            <v>CAD</v>
          </cell>
          <cell r="E184" t="str">
            <v>CTCP Chế biến và Xuất nhập khẩu Thủy sản Cadovimex</v>
          </cell>
          <cell r="F184" t="str">
            <v>Sản xuất thực phẩm</v>
          </cell>
          <cell r="G184" t="str">
            <v>UPCoM</v>
          </cell>
          <cell r="H184">
            <v>8799927</v>
          </cell>
        </row>
        <row r="185">
          <cell r="D185" t="str">
            <v>CAG</v>
          </cell>
          <cell r="E185" t="str">
            <v>CTCP Cảng An Giang</v>
          </cell>
          <cell r="F185" t="str">
            <v>Hỗ trợ vận tải</v>
          </cell>
          <cell r="G185" t="str">
            <v>HNX</v>
          </cell>
          <cell r="H185">
            <v>13800000</v>
          </cell>
        </row>
        <row r="186">
          <cell r="D186" t="str">
            <v>CAM</v>
          </cell>
          <cell r="E186" t="str">
            <v>CTCP Môi trường đô thị Cà Mau</v>
          </cell>
          <cell r="F186" t="str">
            <v>Nước, chất thải và các hệ thống khác</v>
          </cell>
          <cell r="G186" t="str">
            <v>UPCoM</v>
          </cell>
          <cell r="H186"/>
        </row>
        <row r="187">
          <cell r="D187" t="str">
            <v>CAN</v>
          </cell>
          <cell r="E187" t="str">
            <v>CTCP Đồ hộp Hạ Long</v>
          </cell>
          <cell r="F187" t="str">
            <v>Sản xuất thực phẩm</v>
          </cell>
          <cell r="G187" t="str">
            <v>HNX</v>
          </cell>
          <cell r="H187">
            <v>5000000</v>
          </cell>
        </row>
        <row r="188">
          <cell r="D188" t="str">
            <v>CAP</v>
          </cell>
          <cell r="E188" t="str">
            <v>CTCP Lâm Nông sản Thực phẩm Yên Bái</v>
          </cell>
          <cell r="F188" t="str">
            <v>Sản xuất giấy</v>
          </cell>
          <cell r="G188" t="str">
            <v>HNX</v>
          </cell>
          <cell r="H188">
            <v>5236023</v>
          </cell>
        </row>
        <row r="189">
          <cell r="D189" t="str">
            <v>CAT</v>
          </cell>
          <cell r="E189" t="str">
            <v>CTCP Thủy sản Cà Mau</v>
          </cell>
          <cell r="F189" t="str">
            <v>Sản xuất thực phẩm</v>
          </cell>
          <cell r="G189" t="str">
            <v>UPCoM</v>
          </cell>
          <cell r="H189">
            <v>9748579</v>
          </cell>
        </row>
        <row r="190">
          <cell r="D190" t="str">
            <v>CAV</v>
          </cell>
          <cell r="E190" t="str">
            <v>CTCP Dây Cáp điện Việt Nam</v>
          </cell>
          <cell r="F190" t="str">
            <v>Sản xuất trang thiết bị, dụng cụ điện</v>
          </cell>
          <cell r="G190" t="str">
            <v>HNX</v>
          </cell>
          <cell r="H190">
            <v>57600000</v>
          </cell>
        </row>
        <row r="191">
          <cell r="D191" t="str">
            <v>CBI</v>
          </cell>
          <cell r="E191" t="str">
            <v>CTCP Gang thép Cao Bằng</v>
          </cell>
          <cell r="F191" t="str">
            <v>Sản xuất các sản phẩm kim loại cơ bản</v>
          </cell>
          <cell r="G191" t="str">
            <v>UPCoM</v>
          </cell>
          <cell r="H191">
            <v>43006366</v>
          </cell>
        </row>
        <row r="192">
          <cell r="D192" t="str">
            <v>CBS</v>
          </cell>
          <cell r="E192" t="str">
            <v>CTCP Mía Đường Cao Bằng</v>
          </cell>
          <cell r="F192" t="str">
            <v>Sản xuất thực phẩm</v>
          </cell>
          <cell r="G192" t="str">
            <v>UPCoM</v>
          </cell>
          <cell r="H192">
            <v>3527925</v>
          </cell>
        </row>
        <row r="193">
          <cell r="D193" t="str">
            <v>CC1</v>
          </cell>
          <cell r="E193" t="str">
            <v>Tổng Công ty Xây dựng Số 1 - CTCP</v>
          </cell>
          <cell r="F193" t="str">
            <v>Xây dựng công nghiệp nặng và dân dụng</v>
          </cell>
          <cell r="G193" t="str">
            <v>UPCoM</v>
          </cell>
          <cell r="H193">
            <v>110000000</v>
          </cell>
        </row>
        <row r="194">
          <cell r="D194" t="str">
            <v>CC4</v>
          </cell>
          <cell r="E194" t="str">
            <v>CTCP Đầu tư và Xây dựng Số 4</v>
          </cell>
          <cell r="F194" t="str">
            <v>Xây dựng nhà cửa, cao ốc</v>
          </cell>
          <cell r="G194" t="str">
            <v>UPCoM</v>
          </cell>
          <cell r="H194">
            <v>32000000</v>
          </cell>
        </row>
        <row r="195">
          <cell r="D195" t="str">
            <v>CCA</v>
          </cell>
          <cell r="E195" t="str">
            <v>CTCP Xuất nhập khẩu Thuỷ sản Cần Thơ</v>
          </cell>
          <cell r="F195" t="str">
            <v>Sản xuất thực phẩm</v>
          </cell>
          <cell r="G195" t="str">
            <v>UPCoM</v>
          </cell>
          <cell r="H195">
            <v>15092326</v>
          </cell>
        </row>
        <row r="196">
          <cell r="D196" t="str">
            <v>CCI</v>
          </cell>
          <cell r="E196" t="str">
            <v>CTCP Đầu tư Phát triển Công nghiệp Thương mại Củ Chi</v>
          </cell>
          <cell r="F196" t="str">
            <v>Trạm xăng</v>
          </cell>
          <cell r="G196" t="str">
            <v>HOSE</v>
          </cell>
          <cell r="H196">
            <v>17743865</v>
          </cell>
        </row>
        <row r="197">
          <cell r="D197" t="str">
            <v>CCL</v>
          </cell>
          <cell r="E197" t="str">
            <v>CTCP Đầu Tư và Phát triển Đô Thị Dầu khí Cửu Long</v>
          </cell>
          <cell r="F197" t="str">
            <v>Bất động sản</v>
          </cell>
          <cell r="G197" t="str">
            <v>HOSE</v>
          </cell>
          <cell r="H197">
            <v>47499885</v>
          </cell>
        </row>
        <row r="198">
          <cell r="D198" t="str">
            <v>CCM</v>
          </cell>
          <cell r="E198" t="str">
            <v>CTCP khoáng sản và Xi măng Cần Thơ</v>
          </cell>
          <cell r="F198" t="str">
            <v>Sản xuất sản phẩm khoáng chất phi kim</v>
          </cell>
          <cell r="G198" t="str">
            <v>UPCoM</v>
          </cell>
          <cell r="H198">
            <v>6199900</v>
          </cell>
        </row>
        <row r="199">
          <cell r="D199" t="str">
            <v>CCP</v>
          </cell>
          <cell r="E199" t="str">
            <v>CTCP Cảng Cửa Cấm Hải Phòng</v>
          </cell>
          <cell r="F199" t="str">
            <v>Hỗ trợ vận tải</v>
          </cell>
          <cell r="G199" t="str">
            <v>UPCoM</v>
          </cell>
          <cell r="H199">
            <v>2400000</v>
          </cell>
        </row>
        <row r="200">
          <cell r="D200" t="str">
            <v>CCR</v>
          </cell>
          <cell r="E200" t="str">
            <v>CTCP Cảng Cam Ranh</v>
          </cell>
          <cell r="F200" t="str">
            <v>Hỗ trợ vận tải</v>
          </cell>
          <cell r="G200" t="str">
            <v>UPCoM</v>
          </cell>
          <cell r="H200">
            <v>24501817</v>
          </cell>
        </row>
        <row r="201">
          <cell r="D201" t="str">
            <v>CCT</v>
          </cell>
          <cell r="E201" t="str">
            <v>CTCP Cảng Cần Thơ</v>
          </cell>
          <cell r="F201" t="str">
            <v>Hỗ trợ vận tải</v>
          </cell>
          <cell r="G201" t="str">
            <v>UPCoM</v>
          </cell>
          <cell r="H201">
            <v>28480000</v>
          </cell>
        </row>
        <row r="202">
          <cell r="D202" t="str">
            <v>CCV</v>
          </cell>
          <cell r="E202" t="str">
            <v>CTCP Tư vấn Xây dựng Công nghiệp và Đô thị Việt Nam</v>
          </cell>
          <cell r="F202" t="str">
            <v>Kiến trúc, tư vấn xây dựng và dịch vụ liên quan</v>
          </cell>
          <cell r="G202" t="str">
            <v>UPCoM</v>
          </cell>
          <cell r="H202">
            <v>1800000</v>
          </cell>
        </row>
        <row r="203">
          <cell r="D203" t="str">
            <v>CDC</v>
          </cell>
          <cell r="E203" t="str">
            <v>CTCP Chương Dương</v>
          </cell>
          <cell r="F203" t="str">
            <v>Phát triển bất động sản</v>
          </cell>
          <cell r="G203" t="str">
            <v>HOSE</v>
          </cell>
          <cell r="H203">
            <v>21988716</v>
          </cell>
        </row>
        <row r="204">
          <cell r="D204" t="str">
            <v>CDG</v>
          </cell>
          <cell r="E204" t="str">
            <v>CTCP Cầu Đuống</v>
          </cell>
          <cell r="F204" t="str">
            <v>Sản xuất sản phẩm khoáng chất phi kim</v>
          </cell>
          <cell r="G204" t="str">
            <v>UPCoM</v>
          </cell>
          <cell r="H204">
            <v>3464995</v>
          </cell>
        </row>
        <row r="205">
          <cell r="D205" t="str">
            <v>CDH</v>
          </cell>
          <cell r="E205" t="str">
            <v>CTCP Công trình Công cộng và Dịch vụ Du lịch Hải Phòng</v>
          </cell>
          <cell r="F205" t="str">
            <v>Dịch vụ quản lý và tái chế chất thải</v>
          </cell>
          <cell r="G205" t="str">
            <v>UPCoM</v>
          </cell>
          <cell r="H205">
            <v>2000000</v>
          </cell>
        </row>
        <row r="206">
          <cell r="D206" t="str">
            <v>CDN</v>
          </cell>
          <cell r="E206" t="str">
            <v>CTCP Cảng Đà Nẵng</v>
          </cell>
          <cell r="F206" t="str">
            <v>Hỗ trợ vận tải</v>
          </cell>
          <cell r="G206" t="str">
            <v>HNX</v>
          </cell>
          <cell r="H206"/>
        </row>
        <row r="207">
          <cell r="D207" t="str">
            <v>CDO</v>
          </cell>
          <cell r="E207" t="str">
            <v>CTCP Tư vấn Thiết kế và Phát triển Đô thị</v>
          </cell>
          <cell r="F207" t="str">
            <v>Bán buôn hàng lâu bền</v>
          </cell>
          <cell r="G207" t="str">
            <v>UPCoM</v>
          </cell>
          <cell r="H207">
            <v>31504975</v>
          </cell>
        </row>
        <row r="208">
          <cell r="D208" t="str">
            <v>CDP</v>
          </cell>
          <cell r="E208" t="str">
            <v>CTCP Dược phẩm Trung ương Codupha</v>
          </cell>
          <cell r="F208" t="str">
            <v>Bán buôn hàng tiêu dùng</v>
          </cell>
          <cell r="G208" t="str">
            <v>UPCoM</v>
          </cell>
          <cell r="H208">
            <v>18270000</v>
          </cell>
        </row>
        <row r="209">
          <cell r="D209" t="str">
            <v>CDR</v>
          </cell>
          <cell r="E209" t="str">
            <v>CTCP Xây dựng Cao su Đồng Nai</v>
          </cell>
          <cell r="F209" t="str">
            <v>Xây dựng công nghiệp nặng và dân dụng</v>
          </cell>
          <cell r="G209" t="str">
            <v>UPCoM</v>
          </cell>
          <cell r="H209">
            <v>1600000</v>
          </cell>
        </row>
        <row r="210">
          <cell r="D210" t="str">
            <v>CE1</v>
          </cell>
          <cell r="E210" t="str">
            <v>CTCP Xây dựng và Thiết bị Công nghiệp CIE1</v>
          </cell>
          <cell r="F210" t="str">
            <v>Sản xuất thiết bị, máy móc</v>
          </cell>
          <cell r="G210" t="str">
            <v>UPCoM</v>
          </cell>
          <cell r="H210">
            <v>6000000</v>
          </cell>
        </row>
        <row r="211">
          <cell r="D211" t="str">
            <v>CEE</v>
          </cell>
          <cell r="E211" t="str">
            <v>CTCP Xây dựng Hạ tầng CII</v>
          </cell>
          <cell r="F211" t="str">
            <v>Xây dựng công nghiệp nặng và dân dụng</v>
          </cell>
          <cell r="G211" t="str">
            <v>HOSE</v>
          </cell>
          <cell r="H211">
            <v>41500000</v>
          </cell>
        </row>
        <row r="212">
          <cell r="D212" t="str">
            <v>CEG</v>
          </cell>
          <cell r="E212" t="str">
            <v>CTCP Tập đoàn Xây dựng và Thiết bị Công nghiệp</v>
          </cell>
          <cell r="F212" t="str">
            <v>Sản xuất thiết bị, máy móc</v>
          </cell>
          <cell r="G212" t="str">
            <v>UPCoM</v>
          </cell>
          <cell r="H212">
            <v>3800000</v>
          </cell>
        </row>
        <row r="213">
          <cell r="D213" t="str">
            <v>CEN</v>
          </cell>
          <cell r="E213" t="str">
            <v>CTCP CENCON Việt Nam</v>
          </cell>
          <cell r="F213" t="str">
            <v>Bán buôn hàng tiêu dùng</v>
          </cell>
          <cell r="G213" t="str">
            <v>UPCoM</v>
          </cell>
          <cell r="H213">
            <v>3809200</v>
          </cell>
        </row>
        <row r="214">
          <cell r="D214" t="str">
            <v>CEO</v>
          </cell>
          <cell r="E214" t="str">
            <v>CTCP Tập đoàn C.E.O</v>
          </cell>
          <cell r="F214" t="str">
            <v>Phát triển bất động sản</v>
          </cell>
          <cell r="G214" t="str">
            <v>HNX</v>
          </cell>
          <cell r="H214">
            <v>257339985</v>
          </cell>
        </row>
        <row r="215">
          <cell r="D215" t="str">
            <v>CET</v>
          </cell>
          <cell r="E215" t="str">
            <v>CTCP HTC Holding</v>
          </cell>
          <cell r="F215" t="str">
            <v>Sản xuất khác</v>
          </cell>
          <cell r="G215" t="str">
            <v>HNX</v>
          </cell>
          <cell r="H215">
            <v>6050000</v>
          </cell>
        </row>
        <row r="216">
          <cell r="D216" t="str">
            <v>CFC</v>
          </cell>
          <cell r="E216" t="str">
            <v>CTCP Cafico Việt Nam</v>
          </cell>
          <cell r="F216" t="str">
            <v>Sản xuất thực phẩm</v>
          </cell>
          <cell r="G216" t="str">
            <v>UPCoM</v>
          </cell>
          <cell r="H216">
            <v>2234280</v>
          </cell>
        </row>
        <row r="217">
          <cell r="D217" t="str">
            <v>CFM</v>
          </cell>
          <cell r="E217" t="str">
            <v>CTCP Đầu tư CFM</v>
          </cell>
          <cell r="F217" t="str">
            <v>Dịch vụ giáo dục</v>
          </cell>
          <cell r="G217" t="str">
            <v>UPCoM</v>
          </cell>
          <cell r="H217">
            <v>2000000</v>
          </cell>
        </row>
        <row r="218">
          <cell r="D218" t="str">
            <v>CFV</v>
          </cell>
          <cell r="E218" t="str">
            <v>CTCP Cà phê Thắng Lợi</v>
          </cell>
          <cell r="F218" t="str">
            <v>Sản xuất thực phẩm</v>
          </cell>
          <cell r="G218" t="str">
            <v>UPCoM</v>
          </cell>
          <cell r="H218">
            <v>6256100</v>
          </cell>
        </row>
        <row r="219">
          <cell r="D219" t="str">
            <v>CGL</v>
          </cell>
          <cell r="E219" t="str">
            <v>CTCP Thương mại Gia Lai</v>
          </cell>
          <cell r="F219" t="str">
            <v>Bán buôn hàng lâu bền</v>
          </cell>
          <cell r="G219" t="str">
            <v>UPCoM</v>
          </cell>
          <cell r="H219">
            <v>1880000</v>
          </cell>
        </row>
        <row r="220">
          <cell r="D220" t="str">
            <v>CGV</v>
          </cell>
          <cell r="E220" t="str">
            <v>CTCP Sành sứ Thủy tinh Việt Nam</v>
          </cell>
          <cell r="F220" t="str">
            <v>Sản xuất sản phẩm khoáng chất phi kim</v>
          </cell>
          <cell r="G220" t="str">
            <v>UPCoM</v>
          </cell>
          <cell r="H220">
            <v>9499956</v>
          </cell>
        </row>
        <row r="221">
          <cell r="D221" t="str">
            <v>CH5</v>
          </cell>
          <cell r="E221" t="str">
            <v>CTCP Xây dựng Số 5 Hà Nội</v>
          </cell>
          <cell r="F221" t="str">
            <v>Xây dựng nhà cửa, cao ốc</v>
          </cell>
          <cell r="G221" t="str">
            <v>UPCoM</v>
          </cell>
          <cell r="H221">
            <v>3732450</v>
          </cell>
        </row>
        <row r="222">
          <cell r="D222" t="str">
            <v>CHC</v>
          </cell>
          <cell r="E222" t="str">
            <v>CTCP Cẩm Hà</v>
          </cell>
          <cell r="F222" t="str">
            <v>Sản xuất các sản phẩm gỗ</v>
          </cell>
          <cell r="G222" t="str">
            <v>UPCoM</v>
          </cell>
          <cell r="H222">
            <v>4487731</v>
          </cell>
        </row>
        <row r="223">
          <cell r="D223" t="str">
            <v>CHP</v>
          </cell>
          <cell r="E223" t="str">
            <v>CTCP Thủy điện Miền Trung</v>
          </cell>
          <cell r="F223" t="str">
            <v>Phát, truyền tải và phân phối điện năng</v>
          </cell>
          <cell r="G223" t="str">
            <v>HOSE</v>
          </cell>
          <cell r="H223">
            <v>146912668</v>
          </cell>
        </row>
        <row r="224">
          <cell r="D224" t="str">
            <v>CHS</v>
          </cell>
          <cell r="E224" t="str">
            <v>CTCP Chiếu sáng Công cộng Thành phố Hồ Chí Minh</v>
          </cell>
          <cell r="F224" t="str">
            <v>Xây dựng nhà cửa, cao ốc</v>
          </cell>
          <cell r="G224" t="str">
            <v>UPCoM</v>
          </cell>
          <cell r="H224">
            <v>28400000</v>
          </cell>
        </row>
        <row r="225">
          <cell r="D225" t="str">
            <v>CI5</v>
          </cell>
          <cell r="E225" t="str">
            <v>CTCP Đầu Tư Xây dựng Số 5</v>
          </cell>
          <cell r="F225" t="str">
            <v>Xây dựng công nghiệp nặng và dân dụng</v>
          </cell>
          <cell r="G225" t="str">
            <v>UPCoM</v>
          </cell>
          <cell r="H225">
            <v>2700000</v>
          </cell>
        </row>
        <row r="226">
          <cell r="D226" t="str">
            <v>CIA</v>
          </cell>
          <cell r="E226" t="str">
            <v>CTCP Dịch vụ Sân bay Quốc tế Cam Ranh</v>
          </cell>
          <cell r="F226" t="str">
            <v>Của hàng hàng hóa tổng hợp</v>
          </cell>
          <cell r="G226" t="str">
            <v>HNX</v>
          </cell>
          <cell r="H226"/>
        </row>
        <row r="227">
          <cell r="D227" t="str">
            <v>CID</v>
          </cell>
          <cell r="E227" t="str">
            <v>CTCP Xây dựng và Phát triển Cơ sở Hạ tầng</v>
          </cell>
          <cell r="F227" t="str">
            <v>Bất động sản</v>
          </cell>
          <cell r="G227" t="str">
            <v>UPCoM</v>
          </cell>
          <cell r="H227">
            <v>1082000</v>
          </cell>
        </row>
        <row r="228">
          <cell r="D228" t="str">
            <v>CIG</v>
          </cell>
          <cell r="E228" t="str">
            <v>CTCP COMA 18</v>
          </cell>
          <cell r="F228" t="str">
            <v>Phát triển bất động sản</v>
          </cell>
          <cell r="G228" t="str">
            <v>HOSE</v>
          </cell>
          <cell r="H228">
            <v>31539947</v>
          </cell>
        </row>
        <row r="229">
          <cell r="D229" t="str">
            <v>CII</v>
          </cell>
          <cell r="E229" t="str">
            <v>CTCP Đầu tư Hạ tầng Kỹ thuật Thành phố Hồ Chí Minh</v>
          </cell>
          <cell r="F229" t="str">
            <v>Xây dựng công nghiệp nặng và dân dụng</v>
          </cell>
          <cell r="G229" t="str">
            <v>HOSE</v>
          </cell>
          <cell r="H229">
            <v>283168152</v>
          </cell>
        </row>
        <row r="230">
          <cell r="D230" t="str">
            <v>CIP</v>
          </cell>
          <cell r="E230" t="str">
            <v>CTCP Xây lắp và Sản xuất Công nghiệp</v>
          </cell>
          <cell r="F230" t="str">
            <v>Xây dựng công nghiệp nặng và dân dụng</v>
          </cell>
          <cell r="G230" t="str">
            <v>UPCoM</v>
          </cell>
          <cell r="H230">
            <v>4545000</v>
          </cell>
        </row>
        <row r="231">
          <cell r="D231" t="str">
            <v>CJC</v>
          </cell>
          <cell r="E231" t="str">
            <v>CTCP Cơ điện Miền Trung</v>
          </cell>
          <cell r="F231" t="str">
            <v>Sản xuất thiết bị, máy móc</v>
          </cell>
          <cell r="G231" t="str">
            <v>HNX</v>
          </cell>
          <cell r="H231">
            <v>4000000</v>
          </cell>
        </row>
        <row r="232">
          <cell r="D232" t="str">
            <v>CKA</v>
          </cell>
          <cell r="E232" t="str">
            <v>CTCP Cơ Khí An Giang</v>
          </cell>
          <cell r="F232" t="str">
            <v>Sản xuất sản phẩm kim loại tổng hợp</v>
          </cell>
          <cell r="G232" t="str">
            <v>UPCoM</v>
          </cell>
          <cell r="H232">
            <v>3286404</v>
          </cell>
        </row>
        <row r="233">
          <cell r="D233" t="str">
            <v>CKD</v>
          </cell>
          <cell r="E233" t="str">
            <v>CTCP Cơ khí Đông Anh LICOGI</v>
          </cell>
          <cell r="F233" t="str">
            <v>Sản xuất sản phẩm kim loại tổng hợp</v>
          </cell>
          <cell r="G233" t="str">
            <v>UPCoM</v>
          </cell>
          <cell r="H233">
            <v>31000000</v>
          </cell>
        </row>
        <row r="234">
          <cell r="D234" t="str">
            <v>CKG</v>
          </cell>
          <cell r="E234" t="str">
            <v>CTCP Tập đoàn Tư vấn Đầu tư Xây dựng Kiên Giang</v>
          </cell>
          <cell r="F234" t="str">
            <v>Phát triển bất động sản</v>
          </cell>
          <cell r="G234" t="str">
            <v>HOSE</v>
          </cell>
          <cell r="H234">
            <v>82499781</v>
          </cell>
        </row>
        <row r="235">
          <cell r="D235" t="str">
            <v>CKV</v>
          </cell>
          <cell r="E235" t="str">
            <v>CTCP COKYVINA</v>
          </cell>
          <cell r="F235" t="str">
            <v>Bán buôn hàng lâu bền</v>
          </cell>
          <cell r="G235" t="str">
            <v>HNX</v>
          </cell>
          <cell r="H235">
            <v>4050000</v>
          </cell>
        </row>
        <row r="236">
          <cell r="D236" t="str">
            <v>CLC</v>
          </cell>
          <cell r="E236" t="str">
            <v>CTCP Cát Lợi</v>
          </cell>
          <cell r="F236" t="str">
            <v>Sản xuất đồ uống và thuốc lá</v>
          </cell>
          <cell r="G236" t="str">
            <v>HOSE</v>
          </cell>
          <cell r="H236">
            <v>26207583</v>
          </cell>
        </row>
        <row r="237">
          <cell r="D237" t="str">
            <v>CLG</v>
          </cell>
          <cell r="E237" t="str">
            <v>CTCP Đầu tư và Phát triển Nhà đất COTEC</v>
          </cell>
          <cell r="F237" t="str">
            <v>Xây dựng nhà cửa, cao ốc</v>
          </cell>
          <cell r="G237" t="str">
            <v>UPCoM</v>
          </cell>
          <cell r="H237">
            <v>21150000</v>
          </cell>
        </row>
        <row r="238">
          <cell r="D238" t="str">
            <v>CLH</v>
          </cell>
          <cell r="E238" t="str">
            <v>CTCP Xi măng La Hiên VVMI</v>
          </cell>
          <cell r="F238" t="str">
            <v>Sản xuất sản phẩm khoáng chất phi kim</v>
          </cell>
          <cell r="G238" t="str">
            <v>HNX</v>
          </cell>
          <cell r="H238">
            <v>12000000</v>
          </cell>
        </row>
        <row r="239">
          <cell r="D239" t="str">
            <v>CLL</v>
          </cell>
          <cell r="E239" t="str">
            <v>CTCP Cảng Cát Lái</v>
          </cell>
          <cell r="F239" t="str">
            <v>Hỗ trợ vận tải</v>
          </cell>
          <cell r="G239" t="str">
            <v>HOSE</v>
          </cell>
          <cell r="H239">
            <v>34000000</v>
          </cell>
        </row>
        <row r="240">
          <cell r="D240" t="str">
            <v>CLM</v>
          </cell>
          <cell r="E240" t="str">
            <v>CTCP Xuất nhập khẩu Than - Vinacomin</v>
          </cell>
          <cell r="F240" t="str">
            <v>Bán buôn hàng lâu bền</v>
          </cell>
          <cell r="G240" t="str">
            <v>HNX</v>
          </cell>
          <cell r="H240">
            <v>11000000</v>
          </cell>
        </row>
        <row r="241">
          <cell r="D241" t="str">
            <v>CLW</v>
          </cell>
          <cell r="E241" t="str">
            <v>CTCP Cấp nước Chợ Lớn</v>
          </cell>
          <cell r="F241" t="str">
            <v>Nước, chất thải và các hệ thống khác</v>
          </cell>
          <cell r="G241" t="str">
            <v>HOSE</v>
          </cell>
          <cell r="H241">
            <v>13000000</v>
          </cell>
        </row>
        <row r="242">
          <cell r="D242" t="str">
            <v>CLX</v>
          </cell>
          <cell r="E242" t="str">
            <v>CTCP Xuất nhập khẩu và Đầu tư Chợ Lớn (CHOLIMEX)</v>
          </cell>
          <cell r="F242" t="str">
            <v>Bán buôn hàng tiêu dùng</v>
          </cell>
          <cell r="G242" t="str">
            <v>UPCoM</v>
          </cell>
          <cell r="H242">
            <v>86600000</v>
          </cell>
        </row>
        <row r="243">
          <cell r="D243" t="str">
            <v>CMC</v>
          </cell>
          <cell r="E243" t="str">
            <v>CTCP Đầu tư CMC</v>
          </cell>
          <cell r="F243" t="str">
            <v>Bán buôn hàng lâu bền</v>
          </cell>
          <cell r="G243" t="str">
            <v>HNX</v>
          </cell>
          <cell r="H243">
            <v>4561050</v>
          </cell>
        </row>
        <row r="244">
          <cell r="D244" t="str">
            <v>CMD</v>
          </cell>
          <cell r="E244" t="str">
            <v>CTCP Vật liệu Xây dựng và Trang trí nội thất Thành phố Hồ Chí Minh</v>
          </cell>
          <cell r="F244" t="str">
            <v>Bán buôn hàng lâu bền</v>
          </cell>
          <cell r="G244" t="str">
            <v>UPCoM</v>
          </cell>
          <cell r="H244">
            <v>15000000</v>
          </cell>
        </row>
        <row r="245">
          <cell r="D245" t="str">
            <v>CMF</v>
          </cell>
          <cell r="E245" t="str">
            <v>CTCP Thực phẩm Cholimex</v>
          </cell>
          <cell r="F245" t="str">
            <v>Sản xuất thực phẩm</v>
          </cell>
          <cell r="G245" t="str">
            <v>UPCoM</v>
          </cell>
          <cell r="H245">
            <v>8100000</v>
          </cell>
        </row>
        <row r="246">
          <cell r="D246" t="str">
            <v>CMG</v>
          </cell>
          <cell r="E246" t="str">
            <v>CTCP Tập đoàn Công nghệ CMC</v>
          </cell>
          <cell r="F246" t="str">
            <v>Các dịch vụ thông tin khác</v>
          </cell>
          <cell r="G246" t="str">
            <v>HOSE</v>
          </cell>
          <cell r="H246"/>
        </row>
        <row r="247">
          <cell r="D247" t="str">
            <v>CMI</v>
          </cell>
          <cell r="E247" t="str">
            <v>CTCP CMISTONE Việt Nam</v>
          </cell>
          <cell r="F247" t="str">
            <v>Khai khoáng (ngoại trừ dầu mỏ và khí đốt)</v>
          </cell>
          <cell r="G247" t="str">
            <v>UPCoM</v>
          </cell>
          <cell r="H247">
            <v>15002500</v>
          </cell>
        </row>
        <row r="248">
          <cell r="D248" t="str">
            <v>CMK</v>
          </cell>
          <cell r="E248" t="str">
            <v>CTCP Cơ khí Mạo Khê - Vinacomin</v>
          </cell>
          <cell r="F248" t="str">
            <v>Bán buôn hàng lâu bền</v>
          </cell>
          <cell r="G248" t="str">
            <v>UPCoM</v>
          </cell>
          <cell r="H248">
            <v>1432578</v>
          </cell>
        </row>
        <row r="249">
          <cell r="D249" t="str">
            <v>CMN</v>
          </cell>
          <cell r="E249" t="str">
            <v>CTCP Lương thực Thực phẩm Colusa - Miliket</v>
          </cell>
          <cell r="F249" t="str">
            <v>Sản xuất thực phẩm</v>
          </cell>
          <cell r="G249" t="str">
            <v>UPCoM</v>
          </cell>
          <cell r="H249">
            <v>4800000</v>
          </cell>
        </row>
        <row r="250">
          <cell r="D250" t="str">
            <v>CMP</v>
          </cell>
          <cell r="E250" t="str">
            <v>CTCP Cảng Chân Mây</v>
          </cell>
          <cell r="F250" t="str">
            <v>Hỗ trợ vận tải</v>
          </cell>
          <cell r="G250" t="str">
            <v>UPCoM</v>
          </cell>
          <cell r="H250">
            <v>32405415</v>
          </cell>
        </row>
        <row r="251">
          <cell r="D251" t="str">
            <v>CMS</v>
          </cell>
          <cell r="E251" t="str">
            <v>CTCP CMVIETNAM</v>
          </cell>
          <cell r="F251" t="str">
            <v>Xây dựng công nghiệp nặng và dân dụng</v>
          </cell>
          <cell r="G251" t="str">
            <v>HNX</v>
          </cell>
          <cell r="H251">
            <v>17200000</v>
          </cell>
        </row>
        <row r="252">
          <cell r="D252" t="str">
            <v>CMT</v>
          </cell>
          <cell r="E252" t="str">
            <v>CTCP Công nghệ Mạng và Truyền thông</v>
          </cell>
          <cell r="F252" t="str">
            <v>Viễn thông</v>
          </cell>
          <cell r="G252" t="str">
            <v>UPCoM</v>
          </cell>
          <cell r="H252">
            <v>8000000</v>
          </cell>
        </row>
        <row r="253">
          <cell r="D253" t="str">
            <v>CMV</v>
          </cell>
          <cell r="E253" t="str">
            <v>CTCP Thương nghiệp Cà Mau</v>
          </cell>
          <cell r="F253" t="str">
            <v>Của hàng hàng hóa tổng hợp</v>
          </cell>
          <cell r="G253" t="str">
            <v>HOSE</v>
          </cell>
          <cell r="H253">
            <v>18155868</v>
          </cell>
        </row>
        <row r="254">
          <cell r="D254" t="str">
            <v>CMW</v>
          </cell>
          <cell r="E254" t="str">
            <v>CTCP Cấp nước Cà Mau</v>
          </cell>
          <cell r="F254" t="str">
            <v>Nước, chất thải và các hệ thống khác</v>
          </cell>
          <cell r="G254" t="str">
            <v>UPCoM</v>
          </cell>
          <cell r="H254">
            <v>15534900</v>
          </cell>
        </row>
        <row r="255">
          <cell r="D255" t="str">
            <v>CMX</v>
          </cell>
          <cell r="E255" t="str">
            <v>CTCP Camimex Group</v>
          </cell>
          <cell r="F255" t="str">
            <v>Sản xuất thực phẩm</v>
          </cell>
          <cell r="G255" t="str">
            <v>HOSE</v>
          </cell>
          <cell r="H255">
            <v>30408751</v>
          </cell>
        </row>
        <row r="256">
          <cell r="D256" t="str">
            <v>CNC</v>
          </cell>
          <cell r="E256" t="str">
            <v>CTCP Công nghệ Cao Traphaco</v>
          </cell>
          <cell r="F256" t="str">
            <v>Bán buôn hàng tiêu dùng</v>
          </cell>
          <cell r="G256" t="str">
            <v>UPCoM</v>
          </cell>
          <cell r="H256">
            <v>11364325</v>
          </cell>
        </row>
        <row r="257">
          <cell r="D257" t="str">
            <v>CNG</v>
          </cell>
          <cell r="E257" t="str">
            <v>CTCP CNG Việt Nam</v>
          </cell>
          <cell r="F257" t="str">
            <v>Phân phối khí đốt thiên nhiên</v>
          </cell>
          <cell r="G257" t="str">
            <v>HOSE</v>
          </cell>
          <cell r="H257">
            <v>27000000</v>
          </cell>
        </row>
        <row r="258">
          <cell r="D258" t="str">
            <v>CNN</v>
          </cell>
          <cell r="E258" t="str">
            <v>CTCP Tư vấn Công nghệ Thiết bị và Kiểm Định Xây dựng - Coninco</v>
          </cell>
          <cell r="F258" t="str">
            <v>Kiến trúc, tư vấn xây dựng và dịch vụ liên quan</v>
          </cell>
          <cell r="G258" t="str">
            <v>UPCoM</v>
          </cell>
          <cell r="H258">
            <v>8800000</v>
          </cell>
        </row>
        <row r="259">
          <cell r="D259" t="str">
            <v>CNT</v>
          </cell>
          <cell r="E259" t="str">
            <v>CTCP Xây dựng và Kinh doanh Vật tư</v>
          </cell>
          <cell r="F259" t="str">
            <v>Bán buôn hàng tiêu dùng</v>
          </cell>
          <cell r="G259" t="str">
            <v>UPCoM</v>
          </cell>
          <cell r="H259">
            <v>40015069</v>
          </cell>
        </row>
        <row r="260">
          <cell r="D260" t="str">
            <v>COM</v>
          </cell>
          <cell r="E260" t="str">
            <v>CTCP Vật tư Xăng Dầu</v>
          </cell>
          <cell r="F260" t="str">
            <v>Trạm xăng</v>
          </cell>
          <cell r="G260" t="str">
            <v>HOSE</v>
          </cell>
          <cell r="H260">
            <v>14120628</v>
          </cell>
        </row>
        <row r="261">
          <cell r="D261" t="str">
            <v>CPA</v>
          </cell>
          <cell r="E261" t="str">
            <v>CTCP Cà phê Phước An</v>
          </cell>
          <cell r="F261" t="str">
            <v>Trồng trọt</v>
          </cell>
          <cell r="G261" t="str">
            <v>UPCoM</v>
          </cell>
          <cell r="H261">
            <v>23627990</v>
          </cell>
        </row>
        <row r="262">
          <cell r="D262" t="str">
            <v>CPC</v>
          </cell>
          <cell r="E262" t="str">
            <v>CTCP Thuốc sát trùng Cần Thơ</v>
          </cell>
          <cell r="F262" t="str">
            <v>Sản xuất hóa chất, dược phẩm</v>
          </cell>
          <cell r="G262" t="str">
            <v>HNX</v>
          </cell>
          <cell r="H262">
            <v>4303050</v>
          </cell>
        </row>
        <row r="263">
          <cell r="D263" t="str">
            <v>CPH</v>
          </cell>
          <cell r="E263" t="str">
            <v>CTCP Phục vụ Mai táng Hải Phòng</v>
          </cell>
          <cell r="F263" t="str">
            <v>Dịch vụ chăm sóc thân thể và giặt ủi</v>
          </cell>
          <cell r="G263" t="str">
            <v>UPCoM</v>
          </cell>
          <cell r="H263">
            <v>4400000</v>
          </cell>
        </row>
        <row r="264">
          <cell r="D264" t="str">
            <v>CPI</v>
          </cell>
          <cell r="E264" t="str">
            <v>CTCP Đầu tư Cảng Cái Lân</v>
          </cell>
          <cell r="F264" t="str">
            <v>Hỗ trợ vận tải</v>
          </cell>
          <cell r="G264" t="str">
            <v>UPCoM</v>
          </cell>
          <cell r="H264">
            <v>36505000</v>
          </cell>
        </row>
        <row r="265">
          <cell r="D265" t="str">
            <v>CQN</v>
          </cell>
          <cell r="E265" t="str">
            <v>CTCP Cảng Quảng Ninh</v>
          </cell>
          <cell r="F265" t="str">
            <v>Hỗ trợ vận tải</v>
          </cell>
          <cell r="G265" t="str">
            <v>UPCoM</v>
          </cell>
          <cell r="H265">
            <v>75049936</v>
          </cell>
        </row>
        <row r="266">
          <cell r="D266" t="str">
            <v>CQT</v>
          </cell>
          <cell r="E266" t="str">
            <v>CTCP Xi măng Quán Triều VVMI</v>
          </cell>
          <cell r="F266" t="str">
            <v>Sản xuất sản phẩm khoáng chất phi kim</v>
          </cell>
          <cell r="G266" t="str">
            <v>UPCoM</v>
          </cell>
          <cell r="H266"/>
        </row>
        <row r="267">
          <cell r="D267" t="str">
            <v>CRC</v>
          </cell>
          <cell r="E267" t="str">
            <v>CTCP Create Capital Việt Nam</v>
          </cell>
          <cell r="F267" t="str">
            <v>Sản xuất sản phẩm khoáng chất phi kim</v>
          </cell>
          <cell r="G267" t="str">
            <v>HOSE</v>
          </cell>
          <cell r="H267">
            <v>15000000</v>
          </cell>
        </row>
        <row r="268">
          <cell r="D268" t="str">
            <v>CRE</v>
          </cell>
          <cell r="E268" t="str">
            <v>CTCP Bất động sản Thế Kỷ</v>
          </cell>
          <cell r="F268" t="str">
            <v>Bất động sản</v>
          </cell>
          <cell r="G268" t="str">
            <v>HOSE</v>
          </cell>
          <cell r="H268">
            <v>95999908</v>
          </cell>
        </row>
        <row r="269">
          <cell r="D269" t="str">
            <v>CSC</v>
          </cell>
          <cell r="E269" t="str">
            <v>CTCP Tập đoàn COTANA</v>
          </cell>
          <cell r="F269" t="str">
            <v>Xây dựng nhà cửa, cao ốc</v>
          </cell>
          <cell r="G269" t="str">
            <v>HNX</v>
          </cell>
          <cell r="H269">
            <v>22816144</v>
          </cell>
        </row>
        <row r="270">
          <cell r="D270" t="str">
            <v>CSI</v>
          </cell>
          <cell r="E270" t="str">
            <v>CTCP Chứng khoán Kiến thiết Việt Nam</v>
          </cell>
          <cell r="F270" t="str">
            <v>Môi giới chứng khoán, hàng hóa, đầu tư tài chính khác và các hoạt động liên quan</v>
          </cell>
          <cell r="G270" t="str">
            <v>UPCoM</v>
          </cell>
          <cell r="H270">
            <v>16800000</v>
          </cell>
        </row>
        <row r="271">
          <cell r="D271" t="str">
            <v>CSM</v>
          </cell>
          <cell r="E271" t="str">
            <v>CTCP Công nghiệp Cao su Miền Nam</v>
          </cell>
          <cell r="F271" t="str">
            <v>Sản xuất các sản phẩm nhựa và cao su</v>
          </cell>
          <cell r="G271" t="str">
            <v>HOSE</v>
          </cell>
          <cell r="H271">
            <v>103626467</v>
          </cell>
        </row>
        <row r="272">
          <cell r="D272" t="str">
            <v>CST</v>
          </cell>
          <cell r="E272" t="str">
            <v>CTCP Than Cao Sơn - TKV</v>
          </cell>
          <cell r="F272" t="str">
            <v>Khai khoáng (ngoại trừ dầu mỏ và khí đốt)</v>
          </cell>
          <cell r="G272" t="str">
            <v>UPCoM</v>
          </cell>
          <cell r="H272">
            <v>42846773</v>
          </cell>
        </row>
        <row r="273">
          <cell r="D273" t="str">
            <v>CSV</v>
          </cell>
          <cell r="E273" t="str">
            <v>CTCP Hóa chất Cơ bản Miền Nam</v>
          </cell>
          <cell r="F273" t="str">
            <v>Sản xuất hóa chất, dược phẩm</v>
          </cell>
          <cell r="G273" t="str">
            <v>HOSE</v>
          </cell>
          <cell r="H273">
            <v>44200000</v>
          </cell>
        </row>
        <row r="274">
          <cell r="D274" t="str">
            <v>CT3</v>
          </cell>
          <cell r="E274" t="str">
            <v>CTCP Đầu tư và Xây dựng Công trình 3</v>
          </cell>
          <cell r="F274" t="str">
            <v>Xây dựng công nghiệp nặng và dân dụng</v>
          </cell>
          <cell r="G274" t="str">
            <v>UPCoM</v>
          </cell>
          <cell r="H274">
            <v>8000000</v>
          </cell>
        </row>
        <row r="275">
          <cell r="D275" t="str">
            <v>CT5</v>
          </cell>
          <cell r="E275" t="str">
            <v>CTCP 319.5</v>
          </cell>
          <cell r="F275" t="str">
            <v>Xây dựng nhà cửa, cao ốc</v>
          </cell>
          <cell r="G275" t="str">
            <v>UPCoM</v>
          </cell>
          <cell r="H275">
            <v>4400000</v>
          </cell>
        </row>
        <row r="276">
          <cell r="D276" t="str">
            <v>CT6</v>
          </cell>
          <cell r="E276" t="str">
            <v>CTCP Công trình 6</v>
          </cell>
          <cell r="F276" t="str">
            <v>Xây dựng công nghiệp nặng và dân dụng</v>
          </cell>
          <cell r="G276" t="str">
            <v>UPCoM</v>
          </cell>
          <cell r="H276">
            <v>6108078</v>
          </cell>
        </row>
        <row r="277">
          <cell r="D277" t="str">
            <v>CTA</v>
          </cell>
          <cell r="E277" t="str">
            <v>CTCP Vinavico</v>
          </cell>
          <cell r="F277" t="str">
            <v>Khai khoáng (ngoại trừ dầu mỏ và khí đốt)</v>
          </cell>
          <cell r="G277" t="str">
            <v>UPCoM</v>
          </cell>
          <cell r="H277">
            <v>8454381</v>
          </cell>
        </row>
        <row r="278">
          <cell r="D278" t="str">
            <v>CTB</v>
          </cell>
          <cell r="E278" t="str">
            <v>CTCP Chế tạo Bơm Hải Dương</v>
          </cell>
          <cell r="F278" t="str">
            <v>Sản xuất thiết bị, máy móc</v>
          </cell>
          <cell r="G278" t="str">
            <v>HNX</v>
          </cell>
          <cell r="H278">
            <v>13680000</v>
          </cell>
        </row>
        <row r="279">
          <cell r="D279" t="str">
            <v>CTC</v>
          </cell>
          <cell r="E279" t="str">
            <v>CTCP Tập đoàn Hoàng Kim Tây Nguyên</v>
          </cell>
          <cell r="F279" t="str">
            <v>Cửa hàng đồ dùng thể thao, đồ cổ, sách và âm nhạc</v>
          </cell>
          <cell r="G279" t="str">
            <v>HNX</v>
          </cell>
          <cell r="H279">
            <v>15799926</v>
          </cell>
        </row>
        <row r="280">
          <cell r="D280" t="str">
            <v>CTD</v>
          </cell>
          <cell r="E280" t="str">
            <v>CTCP Xây dựng Coteccons</v>
          </cell>
          <cell r="F280" t="str">
            <v>Xây dựng nhà cửa, cao ốc</v>
          </cell>
          <cell r="G280" t="str">
            <v>HOSE</v>
          </cell>
          <cell r="H280">
            <v>79255000</v>
          </cell>
        </row>
        <row r="281">
          <cell r="D281" t="str">
            <v>CTF</v>
          </cell>
          <cell r="E281" t="str">
            <v>CTCP City Auto</v>
          </cell>
          <cell r="F281" t="str">
            <v>Bán lẻ xe hơi và phụ tùng</v>
          </cell>
          <cell r="G281" t="str">
            <v>HOSE</v>
          </cell>
          <cell r="H281">
            <v>68300000</v>
          </cell>
        </row>
        <row r="282">
          <cell r="D282" t="str">
            <v>CTG</v>
          </cell>
          <cell r="E282" t="str">
            <v>Ngân hàng TMCP Công Thương Việt Nam</v>
          </cell>
          <cell r="F282" t="str">
            <v>Trung gian tín dụng và các hoạt động liên quan</v>
          </cell>
          <cell r="G282" t="str">
            <v>HOSE</v>
          </cell>
          <cell r="H282">
            <v>4805750609</v>
          </cell>
        </row>
        <row r="283">
          <cell r="D283" t="str">
            <v>CTI</v>
          </cell>
          <cell r="E283" t="str">
            <v>CTCP Đầu tư Phát triển Cường Thuận IDICO</v>
          </cell>
          <cell r="F283" t="str">
            <v>Xây dựng công nghiệp nặng và dân dụng</v>
          </cell>
          <cell r="G283" t="str">
            <v>HOSE</v>
          </cell>
          <cell r="H283">
            <v>62999997</v>
          </cell>
        </row>
        <row r="284">
          <cell r="D284" t="str">
            <v>CTN</v>
          </cell>
          <cell r="E284" t="str">
            <v>CTCP Xây dựng Công trình ngầm</v>
          </cell>
          <cell r="F284" t="str">
            <v>Xây dựng công nghiệp nặng và dân dụng</v>
          </cell>
          <cell r="G284" t="str">
            <v>UPCoM</v>
          </cell>
          <cell r="H284">
            <v>6958345</v>
          </cell>
        </row>
        <row r="285">
          <cell r="D285" t="str">
            <v>CTP</v>
          </cell>
          <cell r="E285" t="str">
            <v>CTCP Minh Khang Capital Trading Public</v>
          </cell>
          <cell r="F285" t="str">
            <v>Trồng trọt</v>
          </cell>
          <cell r="G285" t="str">
            <v>HNX</v>
          </cell>
          <cell r="H285">
            <v>12099992</v>
          </cell>
        </row>
        <row r="286">
          <cell r="D286" t="str">
            <v>CTR</v>
          </cell>
          <cell r="E286" t="str">
            <v>Tổng Công ty cổ phần Công trình Viettel</v>
          </cell>
          <cell r="F286" t="str">
            <v>Viễn thông</v>
          </cell>
          <cell r="G286" t="str">
            <v>UPCoM</v>
          </cell>
          <cell r="H286"/>
        </row>
        <row r="287">
          <cell r="D287" t="str">
            <v>CTS</v>
          </cell>
          <cell r="E287" t="str">
            <v>CTCP Chứng khoán Ngân hàng Công thương Việt Nam</v>
          </cell>
          <cell r="F287" t="str">
            <v>Môi giới chứng khoán, hàng hóa, đầu tư tài chính khác và các hoạt động liên quan</v>
          </cell>
          <cell r="G287" t="str">
            <v>HOSE</v>
          </cell>
          <cell r="H287">
            <v>106436576</v>
          </cell>
        </row>
        <row r="288">
          <cell r="D288" t="str">
            <v>CTT</v>
          </cell>
          <cell r="E288" t="str">
            <v>CTCP Chế tạo Máy - Vinacomin</v>
          </cell>
          <cell r="F288" t="str">
            <v>Sản xuất thiết bị, máy móc</v>
          </cell>
          <cell r="G288" t="str">
            <v>HNX</v>
          </cell>
          <cell r="H288">
            <v>4697351</v>
          </cell>
        </row>
        <row r="289">
          <cell r="D289" t="str">
            <v>CTW</v>
          </cell>
          <cell r="E289" t="str">
            <v>CTCP Cấp thoát nước Cần Thơ</v>
          </cell>
          <cell r="F289" t="str">
            <v>Nước, chất thải và các hệ thống khác</v>
          </cell>
          <cell r="G289" t="str">
            <v>UPCoM</v>
          </cell>
          <cell r="H289">
            <v>28000000</v>
          </cell>
        </row>
        <row r="290">
          <cell r="D290" t="str">
            <v>CTX</v>
          </cell>
          <cell r="E290" t="str">
            <v>Tổng Công ty cổ phần Đầu tư Xây dựng và Thương mại Việt Nam</v>
          </cell>
          <cell r="F290" t="str">
            <v>Xây dựng nhà cửa, cao ốc</v>
          </cell>
          <cell r="G290" t="str">
            <v>HNX</v>
          </cell>
          <cell r="H290">
            <v>78907276</v>
          </cell>
        </row>
        <row r="291">
          <cell r="D291" t="str">
            <v>CVN</v>
          </cell>
          <cell r="E291" t="str">
            <v>CTCP Vinam</v>
          </cell>
          <cell r="F291" t="str">
            <v>Bán buôn hàng lâu bền</v>
          </cell>
          <cell r="G291" t="str">
            <v>HNX</v>
          </cell>
          <cell r="H291">
            <v>11549994</v>
          </cell>
        </row>
        <row r="292">
          <cell r="D292" t="str">
            <v>CVT</v>
          </cell>
          <cell r="E292" t="str">
            <v>CTCP CMC</v>
          </cell>
          <cell r="F292" t="str">
            <v>Sản xuất sản phẩm khoáng chất phi kim</v>
          </cell>
          <cell r="G292" t="str">
            <v>HOSE</v>
          </cell>
          <cell r="H292">
            <v>36690887</v>
          </cell>
        </row>
        <row r="293">
          <cell r="D293" t="str">
            <v>CX8</v>
          </cell>
          <cell r="E293" t="str">
            <v>CTCP Đầu tư và Xây lắp Constrexim Số 8</v>
          </cell>
          <cell r="F293" t="str">
            <v>Xây dựng nhà cửa, cao ốc</v>
          </cell>
          <cell r="G293" t="str">
            <v>HNX</v>
          </cell>
          <cell r="H293">
            <v>2110586</v>
          </cell>
        </row>
        <row r="294">
          <cell r="D294" t="str">
            <v>CXH</v>
          </cell>
          <cell r="E294" t="str">
            <v>CTCP Xe khách Hà Nội</v>
          </cell>
          <cell r="F294" t="str">
            <v>Vận tải đường bộ</v>
          </cell>
          <cell r="G294" t="str">
            <v>UPCoM</v>
          </cell>
          <cell r="H294">
            <v>1885306</v>
          </cell>
        </row>
        <row r="295">
          <cell r="D295" t="str">
            <v>CYC</v>
          </cell>
          <cell r="E295" t="str">
            <v>CTCP Gạch men Chang Yih</v>
          </cell>
          <cell r="F295" t="str">
            <v>Sản xuất sản phẩm khoáng chất phi kim</v>
          </cell>
          <cell r="G295" t="str">
            <v>UPCoM</v>
          </cell>
          <cell r="H295">
            <v>1990530</v>
          </cell>
        </row>
        <row r="296">
          <cell r="D296" t="str">
            <v>D11</v>
          </cell>
          <cell r="E296" t="str">
            <v>CTCP Địa ốc 11</v>
          </cell>
          <cell r="F296" t="str">
            <v>Phát triển bất động sản</v>
          </cell>
          <cell r="G296" t="str">
            <v>HNX</v>
          </cell>
          <cell r="H296">
            <v>6551965</v>
          </cell>
        </row>
        <row r="297">
          <cell r="D297" t="str">
            <v>D2D</v>
          </cell>
          <cell r="E297" t="str">
            <v>CTCP Phát triển Đô thị Công nghiệp số 2</v>
          </cell>
          <cell r="F297" t="str">
            <v>Phát triển bất động sản</v>
          </cell>
          <cell r="G297" t="str">
            <v>HOSE</v>
          </cell>
          <cell r="H297">
            <v>30304758</v>
          </cell>
        </row>
        <row r="298">
          <cell r="D298" t="str">
            <v>DAC</v>
          </cell>
          <cell r="E298" t="str">
            <v>CTCP 382 Đông Anh</v>
          </cell>
          <cell r="F298" t="str">
            <v>Sản xuất sản phẩm khoáng chất phi kim</v>
          </cell>
          <cell r="G298" t="str">
            <v>UPCoM</v>
          </cell>
          <cell r="H298">
            <v>1004974</v>
          </cell>
        </row>
        <row r="299">
          <cell r="D299" t="str">
            <v>DAD</v>
          </cell>
          <cell r="E299" t="str">
            <v>CTCP Đầu tư và Phát triển Giáo dục Đà Nẵng</v>
          </cell>
          <cell r="F299" t="str">
            <v>Công nghiệp xuất bản - Ngoại trừ internet</v>
          </cell>
          <cell r="G299" t="str">
            <v>HNX</v>
          </cell>
          <cell r="H299">
            <v>5000000</v>
          </cell>
        </row>
        <row r="300">
          <cell r="D300" t="str">
            <v>DAE</v>
          </cell>
          <cell r="E300" t="str">
            <v>CTCP Sách Giáo dục tại Thành phố Đà Nẵng</v>
          </cell>
          <cell r="F300" t="str">
            <v>Công nghiệp xuất bản - Ngoại trừ internet</v>
          </cell>
          <cell r="G300" t="str">
            <v>HNX</v>
          </cell>
          <cell r="H300">
            <v>1498680</v>
          </cell>
        </row>
        <row r="301">
          <cell r="D301" t="str">
            <v>DAG</v>
          </cell>
          <cell r="E301" t="str">
            <v>CTCP Tập đoàn Nhựa Đông Á</v>
          </cell>
          <cell r="F301" t="str">
            <v>Sản xuất các sản phẩm nhựa và cao su</v>
          </cell>
          <cell r="G301" t="str">
            <v>HOSE</v>
          </cell>
          <cell r="H301">
            <v>51795085</v>
          </cell>
        </row>
        <row r="302">
          <cell r="D302" t="str">
            <v>DAH</v>
          </cell>
          <cell r="E302" t="str">
            <v>CTCP Tập đoàn Khách sạn Đông Á</v>
          </cell>
          <cell r="F302" t="str">
            <v>Khách sạn và phòng ở</v>
          </cell>
          <cell r="G302" t="str">
            <v>HOSE</v>
          </cell>
          <cell r="H302">
            <v>34200000</v>
          </cell>
        </row>
        <row r="303">
          <cell r="D303" t="str">
            <v>DAP</v>
          </cell>
          <cell r="E303" t="str">
            <v>CTCP Đông Á</v>
          </cell>
          <cell r="F303" t="str">
            <v>Sản xuất giấy</v>
          </cell>
          <cell r="G303" t="str">
            <v>UPCoM</v>
          </cell>
          <cell r="H303">
            <v>1680000</v>
          </cell>
        </row>
        <row r="304">
          <cell r="D304" t="str">
            <v>DAR</v>
          </cell>
          <cell r="E304" t="str">
            <v>CTCP Xe lửa Dĩ An</v>
          </cell>
          <cell r="F304" t="str">
            <v>Kiến trúc, tư vấn xây dựng và dịch vụ liên quan</v>
          </cell>
          <cell r="G304" t="str">
            <v>UPCoM</v>
          </cell>
          <cell r="H304">
            <v>6500000</v>
          </cell>
        </row>
        <row r="305">
          <cell r="D305" t="str">
            <v>DAS</v>
          </cell>
          <cell r="E305" t="str">
            <v>CTCP Máy - Thiết bị Dầu khí Đà Nẵng</v>
          </cell>
          <cell r="F305" t="str">
            <v>Bán buôn hàng lâu bền</v>
          </cell>
          <cell r="G305" t="str">
            <v>UPCoM</v>
          </cell>
          <cell r="H305">
            <v>4200000</v>
          </cell>
        </row>
        <row r="306">
          <cell r="D306" t="str">
            <v>DAT</v>
          </cell>
          <cell r="E306" t="str">
            <v>CTCP Đầu tư du lịch và Phát triển Thủy sản</v>
          </cell>
          <cell r="F306" t="str">
            <v>Sản xuất thực phẩm</v>
          </cell>
          <cell r="G306" t="str">
            <v>HOSE</v>
          </cell>
          <cell r="H306"/>
        </row>
        <row r="307">
          <cell r="D307" t="str">
            <v>DBC</v>
          </cell>
          <cell r="E307" t="str">
            <v>CTCP Tập đoàn Dabaco Việt Nam</v>
          </cell>
          <cell r="F307" t="str">
            <v>Sản xuất thực phẩm</v>
          </cell>
          <cell r="G307" t="str">
            <v>HOSE</v>
          </cell>
          <cell r="H307">
            <v>115239430</v>
          </cell>
        </row>
        <row r="308">
          <cell r="D308" t="str">
            <v>DBD</v>
          </cell>
          <cell r="E308" t="str">
            <v>CTCP Dược - Trang thiết bị Y tế Bình Định (BIDIPHAR)</v>
          </cell>
          <cell r="F308" t="str">
            <v>Sản xuất hóa chất, dược phẩm</v>
          </cell>
          <cell r="G308" t="str">
            <v>HOSE</v>
          </cell>
          <cell r="H308">
            <v>57612444</v>
          </cell>
        </row>
        <row r="309">
          <cell r="D309" t="str">
            <v>DBH</v>
          </cell>
          <cell r="E309" t="str">
            <v>CTCP Đường bộ Hải Phòng</v>
          </cell>
          <cell r="F309" t="str">
            <v>Xây dựng công nghiệp nặng và dân dụng</v>
          </cell>
          <cell r="G309" t="str">
            <v>UPCoM</v>
          </cell>
          <cell r="H309">
            <v>2200000</v>
          </cell>
        </row>
        <row r="310">
          <cell r="D310" t="str">
            <v>DBM</v>
          </cell>
          <cell r="E310" t="str">
            <v>CTCP Dược - Vật tư Y Tế Đăk Lăk</v>
          </cell>
          <cell r="F310" t="str">
            <v>Sản xuất hóa chất, dược phẩm</v>
          </cell>
          <cell r="G310" t="str">
            <v>UPCoM</v>
          </cell>
          <cell r="H310">
            <v>1941588</v>
          </cell>
        </row>
        <row r="311">
          <cell r="D311" t="str">
            <v>DBT</v>
          </cell>
          <cell r="E311" t="str">
            <v>CTCP Dược phẩm Bến Tre</v>
          </cell>
          <cell r="F311" t="str">
            <v>Bán buôn hàng tiêu dùng</v>
          </cell>
          <cell r="G311" t="str">
            <v>HOSE</v>
          </cell>
          <cell r="H311">
            <v>14205116</v>
          </cell>
        </row>
        <row r="312">
          <cell r="D312" t="str">
            <v>DBW</v>
          </cell>
          <cell r="E312" t="str">
            <v>CTCP Cấp nước Điện Biên</v>
          </cell>
          <cell r="F312" t="str">
            <v>Nước, chất thải và các hệ thống khác</v>
          </cell>
          <cell r="G312" t="str">
            <v>UPCoM</v>
          </cell>
          <cell r="H312">
            <v>39320100</v>
          </cell>
        </row>
        <row r="313">
          <cell r="D313" t="str">
            <v>DC1</v>
          </cell>
          <cell r="E313" t="str">
            <v>CTCP Đầu tư Phát triển Xây dựng Số 1</v>
          </cell>
          <cell r="F313" t="str">
            <v>Xây dựng nhà cửa, cao ốc</v>
          </cell>
          <cell r="G313" t="str">
            <v>UPCoM</v>
          </cell>
          <cell r="H313">
            <v>3149965</v>
          </cell>
        </row>
        <row r="314">
          <cell r="D314" t="str">
            <v>DC2</v>
          </cell>
          <cell r="E314" t="str">
            <v>CTCP Đầu tư - Phát triển - Xây dựng (DIC) Số 2</v>
          </cell>
          <cell r="F314" t="str">
            <v>Nhà thầu chuyên môn</v>
          </cell>
          <cell r="G314" t="str">
            <v>HNX</v>
          </cell>
          <cell r="H314">
            <v>2520000</v>
          </cell>
        </row>
        <row r="315">
          <cell r="D315" t="str">
            <v>DC4</v>
          </cell>
          <cell r="E315" t="str">
            <v>CTCP Xây dựng DIC Holdings</v>
          </cell>
          <cell r="F315" t="str">
            <v>Xây dựng nhà cửa, cao ốc</v>
          </cell>
          <cell r="G315" t="str">
            <v>HOSE</v>
          </cell>
          <cell r="H315">
            <v>33599465</v>
          </cell>
        </row>
        <row r="316">
          <cell r="D316" t="str">
            <v>DCF</v>
          </cell>
          <cell r="E316" t="str">
            <v>CTCP Xây dựng và Thiết kế Số 1</v>
          </cell>
          <cell r="F316" t="str">
            <v>Xây dựng công nghiệp nặng và dân dụng</v>
          </cell>
          <cell r="G316" t="str">
            <v>UPCoM</v>
          </cell>
          <cell r="H316">
            <v>4880530</v>
          </cell>
        </row>
        <row r="317">
          <cell r="D317" t="str">
            <v>DCG</v>
          </cell>
          <cell r="E317" t="str">
            <v>CTCP Tổng Công ty May Đáp Cầu</v>
          </cell>
          <cell r="F317" t="str">
            <v>Sản xuất các sản phẩm may mặc</v>
          </cell>
          <cell r="G317" t="str">
            <v>UPCoM</v>
          </cell>
          <cell r="H317">
            <v>6825000</v>
          </cell>
        </row>
        <row r="318">
          <cell r="D318" t="str">
            <v>DCH</v>
          </cell>
          <cell r="E318" t="str">
            <v>CTCP Địa chính Hà Nội</v>
          </cell>
          <cell r="F318" t="str">
            <v>Kiến trúc, tư vấn xây dựng và dịch vụ liên quan</v>
          </cell>
          <cell r="G318" t="str">
            <v>UPCoM</v>
          </cell>
          <cell r="H318">
            <v>2880000</v>
          </cell>
        </row>
        <row r="319">
          <cell r="D319" t="str">
            <v>DCL</v>
          </cell>
          <cell r="E319" t="str">
            <v>CTCP Dược phẩm Cửu Long</v>
          </cell>
          <cell r="F319" t="str">
            <v>Sản xuất hóa chất, dược phẩm</v>
          </cell>
          <cell r="G319" t="str">
            <v>HOSE</v>
          </cell>
          <cell r="H319">
            <v>56832824</v>
          </cell>
        </row>
        <row r="320">
          <cell r="D320" t="str">
            <v>DCM</v>
          </cell>
          <cell r="E320" t="str">
            <v>CTCP Phân bón Dầu khí Cà Mau</v>
          </cell>
          <cell r="F320" t="str">
            <v>Sản xuất hóa chất, dược phẩm</v>
          </cell>
          <cell r="G320" t="str">
            <v>HOSE</v>
          </cell>
          <cell r="H320">
            <v>529400000</v>
          </cell>
        </row>
        <row r="321">
          <cell r="D321" t="str">
            <v>DCR</v>
          </cell>
          <cell r="E321" t="str">
            <v>CTCP Gạch men Cosevco</v>
          </cell>
          <cell r="F321" t="str">
            <v>Sản xuất sản phẩm khoáng chất phi kim</v>
          </cell>
          <cell r="G321" t="str">
            <v>UPCoM</v>
          </cell>
          <cell r="H321">
            <v>6500000</v>
          </cell>
        </row>
        <row r="322">
          <cell r="D322" t="str">
            <v>DCS</v>
          </cell>
          <cell r="E322" t="str">
            <v>CTCP Tập đoàn Đại Châu</v>
          </cell>
          <cell r="F322" t="str">
            <v>Sản xuất trang thiết bị nội thất và sản phẩm liên quan</v>
          </cell>
          <cell r="G322" t="str">
            <v>UPCoM</v>
          </cell>
          <cell r="H322">
            <v>60310988</v>
          </cell>
        </row>
        <row r="323">
          <cell r="D323" t="str">
            <v>DCT</v>
          </cell>
          <cell r="E323" t="str">
            <v>CTCP Tấm lợp Vật liệu Xây dựng Đồng Nai</v>
          </cell>
          <cell r="F323" t="str">
            <v>Sản xuất sản phẩm khoáng chất phi kim</v>
          </cell>
          <cell r="G323" t="str">
            <v>UPCoM</v>
          </cell>
          <cell r="H323">
            <v>27223647</v>
          </cell>
        </row>
        <row r="324">
          <cell r="D324" t="str">
            <v>DDG</v>
          </cell>
          <cell r="E324" t="str">
            <v>CTCP Đầu tư Công nghiệp Xuất nhập khẩu Đông Dương</v>
          </cell>
          <cell r="F324" t="str">
            <v>Nước, chất thải và các hệ thống khác</v>
          </cell>
          <cell r="G324" t="str">
            <v>HNX</v>
          </cell>
          <cell r="H324">
            <v>28519943</v>
          </cell>
        </row>
        <row r="325">
          <cell r="D325" t="str">
            <v>DDH</v>
          </cell>
          <cell r="E325" t="str">
            <v>CTCP Đảm bảo Giao thông Đường thủy Hải Phòng</v>
          </cell>
          <cell r="F325" t="str">
            <v>Hỗ trợ vận tải</v>
          </cell>
          <cell r="G325" t="str">
            <v>UPCoM</v>
          </cell>
          <cell r="H325">
            <v>3600000</v>
          </cell>
        </row>
        <row r="326">
          <cell r="D326" t="str">
            <v>DDM</v>
          </cell>
          <cell r="E326" t="str">
            <v>CTCP Hàng Hải Đông Đô</v>
          </cell>
          <cell r="F326" t="str">
            <v>Vận tải đường thủy</v>
          </cell>
          <cell r="G326" t="str">
            <v>UPCoM</v>
          </cell>
          <cell r="H326"/>
        </row>
        <row r="327">
          <cell r="D327" t="str">
            <v>DDN</v>
          </cell>
          <cell r="E327" t="str">
            <v>CTCP Dược và Thiết bị Y tế Đà Nẵng</v>
          </cell>
          <cell r="F327" t="str">
            <v>Bán buôn hàng tiêu dùng</v>
          </cell>
          <cell r="G327" t="str">
            <v>UPCoM</v>
          </cell>
          <cell r="H327">
            <v>12134474</v>
          </cell>
        </row>
        <row r="328">
          <cell r="D328" t="str">
            <v>DDV</v>
          </cell>
          <cell r="E328" t="str">
            <v>CTCP DAP - VINACHEM</v>
          </cell>
          <cell r="F328" t="str">
            <v>Sản xuất hóa chất, dược phẩm</v>
          </cell>
          <cell r="G328" t="str">
            <v>UPCoM</v>
          </cell>
          <cell r="H328">
            <v>146109900</v>
          </cell>
        </row>
        <row r="329">
          <cell r="D329" t="str">
            <v>DFC</v>
          </cell>
          <cell r="E329" t="str">
            <v>CTCP Xích líp Đông Anh</v>
          </cell>
          <cell r="F329" t="str">
            <v>Sản xuất sản phẩm kim loại tổng hợp</v>
          </cell>
          <cell r="G329" t="str">
            <v>UPCoM</v>
          </cell>
          <cell r="H329">
            <v>6000000</v>
          </cell>
        </row>
        <row r="330">
          <cell r="D330" t="str">
            <v>DFF</v>
          </cell>
          <cell r="E330" t="str">
            <v>CTCP Tập đoàn Đua Fat</v>
          </cell>
          <cell r="F330" t="str">
            <v>Nhà thầu chuyên môn</v>
          </cell>
          <cell r="G330" t="str">
            <v>UPCoM</v>
          </cell>
          <cell r="H330">
            <v>40000000</v>
          </cell>
        </row>
        <row r="331">
          <cell r="D331" t="str">
            <v>DGC</v>
          </cell>
          <cell r="E331" t="str">
            <v>CTCP Tập đoàn Hóa chất Đức Giang</v>
          </cell>
          <cell r="F331" t="str">
            <v>Sản xuất hóa chất, dược phẩm</v>
          </cell>
          <cell r="G331" t="str">
            <v>HOSE</v>
          </cell>
          <cell r="H331">
            <v>171080556</v>
          </cell>
        </row>
        <row r="332">
          <cell r="D332" t="str">
            <v>DGT</v>
          </cell>
          <cell r="E332" t="str">
            <v>CTCP Công trình Giao thông Đồng Nai</v>
          </cell>
          <cell r="F332" t="str">
            <v>Xây dựng công nghiệp nặng và dân dụng</v>
          </cell>
          <cell r="G332" t="str">
            <v>UPCoM</v>
          </cell>
          <cell r="H332">
            <v>6481000</v>
          </cell>
        </row>
        <row r="333">
          <cell r="D333" t="str">
            <v>DGW</v>
          </cell>
          <cell r="E333" t="str">
            <v>CTCP Thế Giới Số</v>
          </cell>
          <cell r="F333" t="str">
            <v>Bán buôn hàng lâu bền</v>
          </cell>
          <cell r="G333" t="str">
            <v>HOSE</v>
          </cell>
          <cell r="H333">
            <v>44351747</v>
          </cell>
        </row>
        <row r="334">
          <cell r="D334" t="str">
            <v>DHA</v>
          </cell>
          <cell r="E334" t="str">
            <v>CTCP Hóa An</v>
          </cell>
          <cell r="F334" t="str">
            <v>Khai khoáng (ngoại trừ dầu mỏ và khí đốt)</v>
          </cell>
          <cell r="G334" t="str">
            <v>HOSE</v>
          </cell>
          <cell r="H334">
            <v>15119946</v>
          </cell>
        </row>
        <row r="335">
          <cell r="D335" t="str">
            <v>DHB</v>
          </cell>
          <cell r="E335" t="str">
            <v>CTCP Phân đạm và Hóa chất Hà Bắc</v>
          </cell>
          <cell r="F335" t="str">
            <v>Sản xuất hóa chất, dược phẩm</v>
          </cell>
          <cell r="G335" t="str">
            <v>UPCoM</v>
          </cell>
          <cell r="H335">
            <v>272200000</v>
          </cell>
        </row>
        <row r="336">
          <cell r="D336" t="str">
            <v>DHC</v>
          </cell>
          <cell r="E336" t="str">
            <v>CTCP Đông Hải Bến Tre</v>
          </cell>
          <cell r="F336" t="str">
            <v>Sản xuất giấy</v>
          </cell>
          <cell r="G336" t="str">
            <v>HOSE</v>
          </cell>
          <cell r="H336">
            <v>55995783</v>
          </cell>
        </row>
        <row r="337">
          <cell r="D337" t="str">
            <v>DHD</v>
          </cell>
          <cell r="E337" t="str">
            <v>CTCP Dược Vật tư Y tế Hải Dương</v>
          </cell>
          <cell r="F337" t="str">
            <v>Sản xuất hóa chất, dược phẩm</v>
          </cell>
          <cell r="G337" t="str">
            <v>UPCoM</v>
          </cell>
          <cell r="H337">
            <v>11999888</v>
          </cell>
        </row>
        <row r="338">
          <cell r="D338" t="str">
            <v>DHG</v>
          </cell>
          <cell r="E338" t="str">
            <v>CTCP Dược Hậu Giang</v>
          </cell>
          <cell r="F338" t="str">
            <v>Sản xuất hóa chất, dược phẩm</v>
          </cell>
          <cell r="G338" t="str">
            <v>HOSE</v>
          </cell>
          <cell r="H338">
            <v>130746071</v>
          </cell>
        </row>
        <row r="339">
          <cell r="D339" t="str">
            <v>DHM</v>
          </cell>
          <cell r="E339" t="str">
            <v>CTCP Thương mại và Khai thác Khoáng sản Dương Hiếu</v>
          </cell>
          <cell r="F339" t="str">
            <v>Khai khoáng (ngoại trừ dầu mỏ và khí đốt)</v>
          </cell>
          <cell r="G339" t="str">
            <v>HOSE</v>
          </cell>
          <cell r="H339">
            <v>31396180</v>
          </cell>
        </row>
        <row r="340">
          <cell r="D340" t="str">
            <v>DHN</v>
          </cell>
          <cell r="E340" t="str">
            <v>CTCP Dược phẩm Hà Nội</v>
          </cell>
          <cell r="F340" t="str">
            <v>Sản xuất hóa chất, dược phẩm</v>
          </cell>
          <cell r="G340" t="str">
            <v>UPCoM</v>
          </cell>
          <cell r="H340">
            <v>6290900</v>
          </cell>
        </row>
        <row r="341">
          <cell r="D341" t="str">
            <v>DHP</v>
          </cell>
          <cell r="E341" t="str">
            <v>CTCP Điện cơ Hải Phòng</v>
          </cell>
          <cell r="F341" t="str">
            <v>Sản xuất trang thiết bị, dụng cụ điện</v>
          </cell>
          <cell r="G341" t="str">
            <v>HNX</v>
          </cell>
          <cell r="H341">
            <v>9492200</v>
          </cell>
        </row>
        <row r="342">
          <cell r="D342" t="str">
            <v>DHT</v>
          </cell>
          <cell r="E342" t="str">
            <v>CTCP Dược phẩm Hà Tây</v>
          </cell>
          <cell r="F342" t="str">
            <v>Sản xuất hóa chất, dược phẩm</v>
          </cell>
          <cell r="G342" t="str">
            <v>HNX</v>
          </cell>
          <cell r="H342">
            <v>21127365</v>
          </cell>
        </row>
        <row r="343">
          <cell r="D343" t="str">
            <v>DIC</v>
          </cell>
          <cell r="E343" t="str">
            <v>CTCP Đầu tư và Thương mại DIC</v>
          </cell>
          <cell r="F343" t="str">
            <v>Bán buôn hàng lâu bền</v>
          </cell>
          <cell r="G343" t="str">
            <v>UPCoM</v>
          </cell>
          <cell r="H343">
            <v>26585840</v>
          </cell>
        </row>
        <row r="344">
          <cell r="D344" t="str">
            <v>DID</v>
          </cell>
          <cell r="E344" t="str">
            <v>CTCP DIC - Đồng Tiến</v>
          </cell>
          <cell r="F344" t="str">
            <v>Sản xuất sản phẩm khoáng chất phi kim</v>
          </cell>
          <cell r="G344" t="str">
            <v>UPCoM</v>
          </cell>
          <cell r="H344">
            <v>13900000</v>
          </cell>
        </row>
        <row r="345">
          <cell r="D345" t="str">
            <v>DIG</v>
          </cell>
          <cell r="E345" t="str">
            <v>Tổng Công ty cổ phần Đầu tư Phát triển Xây dựng</v>
          </cell>
          <cell r="F345" t="str">
            <v>Phát triển bất động sản</v>
          </cell>
          <cell r="G345" t="str">
            <v>HOSE</v>
          </cell>
          <cell r="H345">
            <v>409890962</v>
          </cell>
        </row>
        <row r="346">
          <cell r="D346" t="str">
            <v>DIH</v>
          </cell>
          <cell r="E346" t="str">
            <v>CTCP Đầu tư Phát triển Xây dựng - Hội An</v>
          </cell>
          <cell r="F346" t="str">
            <v>Xây dựng nhà cửa, cao ốc</v>
          </cell>
          <cell r="G346" t="str">
            <v>HNX</v>
          </cell>
          <cell r="H346"/>
        </row>
        <row r="347">
          <cell r="D347" t="str">
            <v>DKC</v>
          </cell>
          <cell r="E347" t="str">
            <v>CTCP Chợ Lạng Sơn</v>
          </cell>
          <cell r="F347" t="str">
            <v>Phát triển bất động sản</v>
          </cell>
          <cell r="G347" t="str">
            <v>UPCoM</v>
          </cell>
          <cell r="H347">
            <v>2288540</v>
          </cell>
        </row>
        <row r="348">
          <cell r="D348" t="str">
            <v>DKH</v>
          </cell>
          <cell r="E348" t="str">
            <v>Trung tâm Đăng kiểm phương tiện Giao thông Thủy bộ</v>
          </cell>
          <cell r="F348" t="str">
            <v>Dịch vụ hành chính và hỗ trợ</v>
          </cell>
          <cell r="G348" t="str">
            <v>UPCoM</v>
          </cell>
          <cell r="H348">
            <v>212036</v>
          </cell>
        </row>
        <row r="349">
          <cell r="D349" t="str">
            <v>DL1</v>
          </cell>
          <cell r="E349" t="str">
            <v>CTCP Tập đoàn Alpha Seven</v>
          </cell>
          <cell r="F349" t="str">
            <v>Vận tải trung chuyển và vận tải hành khách bằng đường bộ</v>
          </cell>
          <cell r="G349" t="str">
            <v>HNX</v>
          </cell>
          <cell r="H349">
            <v>101177353</v>
          </cell>
        </row>
        <row r="350">
          <cell r="D350" t="str">
            <v>DLD</v>
          </cell>
          <cell r="E350" t="str">
            <v>CTCP Du lịch Đắk Lắk</v>
          </cell>
          <cell r="F350" t="str">
            <v>Dịch vụ ăn uống</v>
          </cell>
          <cell r="G350" t="str">
            <v>UPCoM</v>
          </cell>
          <cell r="H350">
            <v>9307415</v>
          </cell>
        </row>
        <row r="351">
          <cell r="D351" t="str">
            <v>DLG</v>
          </cell>
          <cell r="E351" t="str">
            <v>CTCP Tập đoàn Đức Long Gia Lai</v>
          </cell>
          <cell r="F351" t="str">
            <v>Sản xuất các sản phẩm điện tử, vi tính</v>
          </cell>
          <cell r="G351" t="str">
            <v>HOSE</v>
          </cell>
          <cell r="H351">
            <v>299309720</v>
          </cell>
        </row>
        <row r="352">
          <cell r="D352" t="str">
            <v>DLR</v>
          </cell>
          <cell r="E352" t="str">
            <v>CTCP Địa ốc Đà Lạt</v>
          </cell>
          <cell r="F352" t="str">
            <v>Xây dựng nhà cửa, cao ốc</v>
          </cell>
          <cell r="G352" t="str">
            <v>UPCoM</v>
          </cell>
          <cell r="H352">
            <v>4500000</v>
          </cell>
        </row>
        <row r="353">
          <cell r="D353" t="str">
            <v>DLT</v>
          </cell>
          <cell r="E353" t="str">
            <v>CTCP Du lịch và Thương mại - Vinacomin</v>
          </cell>
          <cell r="F353" t="str">
            <v>Các hoạt động hỗ trợ Khai khoáng</v>
          </cell>
          <cell r="G353" t="str">
            <v>UPCoM</v>
          </cell>
          <cell r="H353">
            <v>2500056</v>
          </cell>
        </row>
        <row r="354">
          <cell r="D354" t="str">
            <v>DM7</v>
          </cell>
          <cell r="E354" t="str">
            <v>CTCP Dệt May 7</v>
          </cell>
          <cell r="F354" t="str">
            <v>Sản xuất các sản phẩm may mặc</v>
          </cell>
          <cell r="G354" t="str">
            <v>UPCoM</v>
          </cell>
          <cell r="H354">
            <v>15411100</v>
          </cell>
        </row>
        <row r="355">
          <cell r="D355" t="str">
            <v>DMC</v>
          </cell>
          <cell r="E355" t="str">
            <v>CTCP Xuất nhập khẩu Y Tế Domesco</v>
          </cell>
          <cell r="F355" t="str">
            <v>Sản xuất hóa chất, dược phẩm</v>
          </cell>
          <cell r="G355" t="str">
            <v>HOSE</v>
          </cell>
          <cell r="H355">
            <v>34727465</v>
          </cell>
        </row>
        <row r="356">
          <cell r="D356" t="str">
            <v>DNA</v>
          </cell>
          <cell r="E356" t="str">
            <v>CTCP Điện Nước An Giang</v>
          </cell>
          <cell r="F356" t="str">
            <v>Phát, truyền tải và phân phối điện năng</v>
          </cell>
          <cell r="G356" t="str">
            <v>UPCoM</v>
          </cell>
          <cell r="H356">
            <v>53647445</v>
          </cell>
        </row>
        <row r="357">
          <cell r="D357" t="str">
            <v>DNB</v>
          </cell>
          <cell r="E357" t="str">
            <v>CTCP Sách và Thiết bị trường học tỉnh Đắk Nông</v>
          </cell>
          <cell r="F357" t="str">
            <v>Cửa hàng đồ dùng thể thao, đồ cổ, sách và âm nhạc</v>
          </cell>
          <cell r="G357" t="str">
            <v>UPCoM</v>
          </cell>
          <cell r="H357">
            <v>1447554</v>
          </cell>
        </row>
        <row r="358">
          <cell r="D358" t="str">
            <v>DNC</v>
          </cell>
          <cell r="E358" t="str">
            <v>CTCP Điện Nước Lắp máy Hải Phòng</v>
          </cell>
          <cell r="F358" t="str">
            <v>Phát, truyền tải và phân phối điện năng</v>
          </cell>
          <cell r="G358" t="str">
            <v>HNX</v>
          </cell>
          <cell r="H358">
            <v>5137850</v>
          </cell>
        </row>
        <row r="359">
          <cell r="D359" t="str">
            <v>DND</v>
          </cell>
          <cell r="E359" t="str">
            <v>CTCP Đầu tư Xây dựng và Vật liệu Đồng Nai</v>
          </cell>
          <cell r="F359" t="str">
            <v>Sản xuất sản phẩm khoáng chất phi kim</v>
          </cell>
          <cell r="G359" t="str">
            <v>UPCoM</v>
          </cell>
          <cell r="H359">
            <v>8834000</v>
          </cell>
        </row>
        <row r="360">
          <cell r="D360" t="str">
            <v>DNE</v>
          </cell>
          <cell r="E360" t="str">
            <v>CTCP Môi trường Đô thị Đà Nẵng</v>
          </cell>
          <cell r="F360" t="str">
            <v>Nước, chất thải và các hệ thống khác</v>
          </cell>
          <cell r="G360" t="str">
            <v>UPCoM</v>
          </cell>
          <cell r="H360">
            <v>5773600</v>
          </cell>
        </row>
        <row r="361">
          <cell r="D361" t="str">
            <v>DNH</v>
          </cell>
          <cell r="E361" t="str">
            <v>CTCP Thủy điện Đa Nhim - Hàm Thuận - Đa Mi</v>
          </cell>
          <cell r="F361" t="str">
            <v>Phát, truyền tải và phân phối điện năng</v>
          </cell>
          <cell r="G361" t="str">
            <v>UPCoM</v>
          </cell>
          <cell r="H361">
            <v>422400000</v>
          </cell>
        </row>
        <row r="362">
          <cell r="D362" t="str">
            <v>DNL</v>
          </cell>
          <cell r="E362" t="str">
            <v>CTCP Logistics Cảng Đà Nẵng</v>
          </cell>
          <cell r="F362" t="str">
            <v>Hỗ trợ vận tải</v>
          </cell>
          <cell r="G362" t="str">
            <v>UPCoM</v>
          </cell>
          <cell r="H362">
            <v>4310000</v>
          </cell>
        </row>
        <row r="363">
          <cell r="D363" t="str">
            <v>DNM</v>
          </cell>
          <cell r="E363" t="str">
            <v>Tổng Công ty cổ phần Y tế DANAMECO</v>
          </cell>
          <cell r="F363" t="str">
            <v>Sản xuất khác</v>
          </cell>
          <cell r="G363" t="str">
            <v>HNX</v>
          </cell>
          <cell r="H363">
            <v>4377605</v>
          </cell>
        </row>
        <row r="364">
          <cell r="D364" t="str">
            <v>DNN</v>
          </cell>
          <cell r="E364" t="str">
            <v>CTCP Cấp nước Đà Nẵng</v>
          </cell>
          <cell r="F364" t="str">
            <v>Nước, chất thải và các hệ thống khác</v>
          </cell>
          <cell r="G364" t="str">
            <v>UPCoM</v>
          </cell>
          <cell r="H364">
            <v>57964061</v>
          </cell>
        </row>
        <row r="365">
          <cell r="D365" t="str">
            <v>DNP</v>
          </cell>
          <cell r="E365" t="str">
            <v>CTCP Nhựa Đồng Nai</v>
          </cell>
          <cell r="F365" t="str">
            <v>Sản xuất các sản phẩm nhựa và cao su</v>
          </cell>
          <cell r="G365" t="str">
            <v>HNX</v>
          </cell>
          <cell r="H365">
            <v>109154493</v>
          </cell>
        </row>
        <row r="366">
          <cell r="D366" t="str">
            <v>DNT</v>
          </cell>
          <cell r="E366" t="str">
            <v>CTCP Du lịch Đồng Nai</v>
          </cell>
          <cell r="F366" t="str">
            <v>Dịch vụ ăn uống</v>
          </cell>
          <cell r="G366" t="str">
            <v>UPCoM</v>
          </cell>
          <cell r="H366"/>
        </row>
        <row r="367">
          <cell r="D367" t="str">
            <v>DNW</v>
          </cell>
          <cell r="E367" t="str">
            <v>CTCP Cấp nước Đồng Nai</v>
          </cell>
          <cell r="F367" t="str">
            <v>Nước, chất thải và các hệ thống khác</v>
          </cell>
          <cell r="G367" t="str">
            <v>UPCoM</v>
          </cell>
          <cell r="H367">
            <v>120000000</v>
          </cell>
        </row>
        <row r="368">
          <cell r="D368" t="str">
            <v>DNY</v>
          </cell>
          <cell r="E368" t="str">
            <v>CTCP Thép DANA - Ý</v>
          </cell>
          <cell r="F368" t="str">
            <v>Sản xuất các sản phẩm kim loại cơ bản</v>
          </cell>
          <cell r="G368" t="str">
            <v>UPCoM</v>
          </cell>
          <cell r="H368">
            <v>26999517</v>
          </cell>
        </row>
        <row r="369">
          <cell r="D369" t="str">
            <v>DOC</v>
          </cell>
          <cell r="E369" t="str">
            <v>CTCP Vật tư Nông Nghiệp Đồng Nai</v>
          </cell>
          <cell r="F369" t="str">
            <v>Sản xuất hóa chất, dược phẩm</v>
          </cell>
          <cell r="G369" t="str">
            <v>UPCoM</v>
          </cell>
          <cell r="H369">
            <v>10000000</v>
          </cell>
        </row>
        <row r="370">
          <cell r="D370" t="str">
            <v>DOP</v>
          </cell>
          <cell r="E370" t="str">
            <v>CTCP Vận tải Xăng dầu Đồng Tháp</v>
          </cell>
          <cell r="F370" t="str">
            <v>Hỗ trợ vận tải</v>
          </cell>
          <cell r="G370" t="str">
            <v>UPCoM</v>
          </cell>
          <cell r="H370">
            <v>4719950</v>
          </cell>
        </row>
        <row r="371">
          <cell r="D371" t="str">
            <v>DP1</v>
          </cell>
          <cell r="E371" t="str">
            <v>CTCP Dược phẩm Trung ương CPC1</v>
          </cell>
          <cell r="F371" t="str">
            <v>Bán buôn hàng tiêu dùng</v>
          </cell>
          <cell r="G371" t="str">
            <v>UPCoM</v>
          </cell>
          <cell r="H371">
            <v>20979000</v>
          </cell>
        </row>
        <row r="372">
          <cell r="D372" t="str">
            <v>DP2</v>
          </cell>
          <cell r="E372" t="str">
            <v>CTCP Dược phẩm Trung ương 2</v>
          </cell>
          <cell r="F372" t="str">
            <v>Sản xuất hóa chất, dược phẩm</v>
          </cell>
          <cell r="G372" t="str">
            <v>UPCoM</v>
          </cell>
          <cell r="H372">
            <v>20000000</v>
          </cell>
        </row>
        <row r="373">
          <cell r="D373" t="str">
            <v>DP3</v>
          </cell>
          <cell r="E373" t="str">
            <v>CTCP Dược phẩm Trung ương 3</v>
          </cell>
          <cell r="F373" t="str">
            <v>Sản xuất hóa chất, dược phẩm</v>
          </cell>
          <cell r="G373" t="str">
            <v>HNX</v>
          </cell>
          <cell r="H373">
            <v>8600000</v>
          </cell>
        </row>
        <row r="374">
          <cell r="D374" t="str">
            <v>DPC</v>
          </cell>
          <cell r="E374" t="str">
            <v>CTCP Nhựa Đà Nẵng</v>
          </cell>
          <cell r="F374" t="str">
            <v>Sản xuất các sản phẩm nhựa và cao su</v>
          </cell>
          <cell r="G374" t="str">
            <v>HNX</v>
          </cell>
          <cell r="H374">
            <v>2237280</v>
          </cell>
        </row>
        <row r="375">
          <cell r="D375" t="str">
            <v>DPD</v>
          </cell>
          <cell r="E375" t="str">
            <v>CTCP Cao su Đồng Phú - Đắk Nông</v>
          </cell>
          <cell r="F375" t="str">
            <v>Sản xuất hóa chất, dược phẩm</v>
          </cell>
          <cell r="G375" t="str">
            <v>UPCoM</v>
          </cell>
          <cell r="H375">
            <v>12000000</v>
          </cell>
        </row>
        <row r="376">
          <cell r="D376" t="str">
            <v>DPG</v>
          </cell>
          <cell r="E376" t="str">
            <v>CTCP Đạt Phương</v>
          </cell>
          <cell r="F376" t="str">
            <v>Xây dựng công nghiệp nặng và dân dụng</v>
          </cell>
          <cell r="G376" t="str">
            <v>HOSE</v>
          </cell>
          <cell r="H376">
            <v>62999554</v>
          </cell>
        </row>
        <row r="377">
          <cell r="D377" t="str">
            <v>DPH</v>
          </cell>
          <cell r="E377" t="str">
            <v>CTCP Dược phẩm Hải Phòng</v>
          </cell>
          <cell r="F377" t="str">
            <v>Sản xuất hóa chất, dược phẩm</v>
          </cell>
          <cell r="G377" t="str">
            <v>UPCoM</v>
          </cell>
          <cell r="H377">
            <v>3000000</v>
          </cell>
        </row>
        <row r="378">
          <cell r="D378" t="str">
            <v>DPM</v>
          </cell>
          <cell r="E378" t="str">
            <v>Tổng Công ty Phân bón và Hóa chất Dầu khí - CTCP</v>
          </cell>
          <cell r="F378" t="str">
            <v>Sản xuất hóa chất, dược phẩm</v>
          </cell>
          <cell r="G378" t="str">
            <v>HOSE</v>
          </cell>
          <cell r="H378">
            <v>391400000</v>
          </cell>
        </row>
        <row r="379">
          <cell r="D379" t="str">
            <v>DPP</v>
          </cell>
          <cell r="E379" t="str">
            <v>CTCP Dược Đồng Nai</v>
          </cell>
          <cell r="F379" t="str">
            <v>Bán buôn hàng tiêu dùng</v>
          </cell>
          <cell r="G379" t="str">
            <v>UPCoM</v>
          </cell>
          <cell r="H379">
            <v>3000010</v>
          </cell>
        </row>
        <row r="380">
          <cell r="D380" t="str">
            <v>DPR</v>
          </cell>
          <cell r="E380" t="str">
            <v>CTCP Cao su Đồng Phú</v>
          </cell>
          <cell r="F380" t="str">
            <v>Sản xuất hóa chất, dược phẩm</v>
          </cell>
          <cell r="G380" t="str">
            <v>HOSE</v>
          </cell>
          <cell r="H380">
            <v>43000000</v>
          </cell>
        </row>
        <row r="381">
          <cell r="D381" t="str">
            <v>DPS</v>
          </cell>
          <cell r="E381" t="str">
            <v>CTCP Đầu tư Phát triển Sóc Sơn</v>
          </cell>
          <cell r="F381" t="str">
            <v>Bán buôn hàng lâu bền</v>
          </cell>
          <cell r="G381" t="str">
            <v>UPCoM</v>
          </cell>
          <cell r="H381">
            <v>31085257</v>
          </cell>
        </row>
        <row r="382">
          <cell r="D382" t="str">
            <v>DQC</v>
          </cell>
          <cell r="E382" t="str">
            <v>CTCP Bóng đèn Điện Quang</v>
          </cell>
          <cell r="F382" t="str">
            <v>Sản xuất trang thiết bị, dụng cụ điện</v>
          </cell>
          <cell r="G382" t="str">
            <v>HOSE</v>
          </cell>
          <cell r="H382">
            <v>34359416</v>
          </cell>
        </row>
        <row r="383">
          <cell r="D383" t="str">
            <v>DRC</v>
          </cell>
          <cell r="E383" t="str">
            <v>CTCP Cao su Đà Nẵng</v>
          </cell>
          <cell r="F383" t="str">
            <v>Sản xuất các sản phẩm nhựa và cao su</v>
          </cell>
          <cell r="G383" t="str">
            <v>HOSE</v>
          </cell>
          <cell r="H383">
            <v>118792605</v>
          </cell>
        </row>
        <row r="384">
          <cell r="D384" t="str">
            <v>DRG</v>
          </cell>
          <cell r="E384" t="str">
            <v>CTCP Cao su Đắk Lắk</v>
          </cell>
          <cell r="F384" t="str">
            <v>Trồng trọt</v>
          </cell>
          <cell r="G384" t="str">
            <v>UPCoM</v>
          </cell>
          <cell r="H384">
            <v>1658400</v>
          </cell>
        </row>
        <row r="385">
          <cell r="D385" t="str">
            <v>DRH</v>
          </cell>
          <cell r="E385" t="str">
            <v>CTCP DRH Holdings</v>
          </cell>
          <cell r="F385" t="str">
            <v>Bất động sản</v>
          </cell>
          <cell r="G385" t="str">
            <v>HOSE</v>
          </cell>
          <cell r="H385">
            <v>60999933</v>
          </cell>
        </row>
        <row r="386">
          <cell r="D386" t="str">
            <v>DRI</v>
          </cell>
          <cell r="E386" t="str">
            <v>CTCP Đầu tư Cao su Đắk Lắk</v>
          </cell>
          <cell r="F386" t="str">
            <v>Sản xuất hóa chất, dược phẩm</v>
          </cell>
          <cell r="G386" t="str">
            <v>UPCoM</v>
          </cell>
          <cell r="H386"/>
        </row>
        <row r="387">
          <cell r="D387" t="str">
            <v>DRL</v>
          </cell>
          <cell r="E387" t="str">
            <v>CTCP Thủy điện - Điện Lực 3</v>
          </cell>
          <cell r="F387" t="str">
            <v>Phát, truyền tải và phân phối điện năng</v>
          </cell>
          <cell r="G387" t="str">
            <v>HOSE</v>
          </cell>
          <cell r="H387">
            <v>9500000</v>
          </cell>
        </row>
        <row r="388">
          <cell r="D388" t="str">
            <v>DS3</v>
          </cell>
          <cell r="E388" t="str">
            <v>CTCP Quản lý Đường sông Số 3</v>
          </cell>
          <cell r="F388" t="str">
            <v>Hỗ trợ vận tải</v>
          </cell>
          <cell r="G388" t="str">
            <v>HNX</v>
          </cell>
          <cell r="H388">
            <v>10669730</v>
          </cell>
        </row>
        <row r="389">
          <cell r="D389" t="str">
            <v>DSC</v>
          </cell>
          <cell r="E389" t="str">
            <v>CTCP Chứng khoán DSC</v>
          </cell>
          <cell r="F389" t="str">
            <v>Môi giới chứng khoán, hàng hóa, đầu tư tài chính khác và các hoạt động liên quan</v>
          </cell>
          <cell r="G389" t="str">
            <v>UPCoM</v>
          </cell>
          <cell r="H389">
            <v>6000000</v>
          </cell>
        </row>
        <row r="390">
          <cell r="D390" t="str">
            <v>DSG</v>
          </cell>
          <cell r="E390" t="str">
            <v>CTCP Kính Đáp Cầu</v>
          </cell>
          <cell r="F390" t="str">
            <v>Sản xuất sản phẩm khoáng chất phi kim</v>
          </cell>
          <cell r="G390" t="str">
            <v>UPCoM</v>
          </cell>
          <cell r="H390">
            <v>30000000</v>
          </cell>
        </row>
        <row r="391">
          <cell r="D391" t="str">
            <v>DSN</v>
          </cell>
          <cell r="E391" t="str">
            <v>CTCP Công viên nước Đầm Sen</v>
          </cell>
          <cell r="F391" t="str">
            <v>Công nghiệp giải trí, đánh bạc và tiêu khiển</v>
          </cell>
          <cell r="G391" t="str">
            <v>HOSE</v>
          </cell>
          <cell r="H391">
            <v>12083009</v>
          </cell>
        </row>
        <row r="392">
          <cell r="D392" t="str">
            <v>DSP</v>
          </cell>
          <cell r="E392" t="str">
            <v>CTCP Dịch vụ Du lịch Phú Thọ</v>
          </cell>
          <cell r="F392" t="str">
            <v>Công nghiệp giải trí, đánh bạc và tiêu khiển</v>
          </cell>
          <cell r="G392" t="str">
            <v>UPCoM</v>
          </cell>
          <cell r="H392">
            <v>118684000</v>
          </cell>
        </row>
        <row r="393">
          <cell r="D393" t="str">
            <v>DST</v>
          </cell>
          <cell r="E393" t="str">
            <v>CTCP Đầu tư Sao Thăng Long</v>
          </cell>
          <cell r="F393" t="str">
            <v>Công nghiệp xuất bản - Ngoại trừ internet</v>
          </cell>
          <cell r="G393" t="str">
            <v>HNX</v>
          </cell>
          <cell r="H393">
            <v>32300000</v>
          </cell>
        </row>
        <row r="394">
          <cell r="D394" t="str">
            <v>DSV</v>
          </cell>
          <cell r="E394" t="str">
            <v>CTCP Đường sắt Vĩnh Phú</v>
          </cell>
          <cell r="F394" t="str">
            <v>Hỗ trợ vận tải</v>
          </cell>
          <cell r="G394" t="str">
            <v>UPCoM</v>
          </cell>
          <cell r="H394">
            <v>1229579</v>
          </cell>
        </row>
        <row r="395">
          <cell r="D395" t="str">
            <v>DT4</v>
          </cell>
          <cell r="E395" t="str">
            <v>CTCP Quản lý Bảo trì Đường thủy Nội địa Số 4</v>
          </cell>
          <cell r="F395" t="str">
            <v>Hỗ trợ vận tải</v>
          </cell>
          <cell r="G395" t="str">
            <v>UPCoM</v>
          </cell>
          <cell r="H395">
            <v>1160000</v>
          </cell>
        </row>
        <row r="396">
          <cell r="D396" t="str">
            <v>DTA</v>
          </cell>
          <cell r="E396" t="str">
            <v>CTCP Đệ Tam</v>
          </cell>
          <cell r="F396" t="str">
            <v>Phát triển bất động sản</v>
          </cell>
          <cell r="G396" t="str">
            <v>HOSE</v>
          </cell>
          <cell r="H396">
            <v>18059832</v>
          </cell>
        </row>
        <row r="397">
          <cell r="D397" t="str">
            <v>DTB</v>
          </cell>
          <cell r="E397" t="str">
            <v>CTCP Công trình Đô thị Bảo Lộc</v>
          </cell>
          <cell r="F397" t="str">
            <v>Dịch vụ quản lý và tái chế chất thải</v>
          </cell>
          <cell r="G397" t="str">
            <v>UPCoM</v>
          </cell>
          <cell r="H397">
            <v>1558248</v>
          </cell>
        </row>
        <row r="398">
          <cell r="D398" t="str">
            <v>DTC</v>
          </cell>
          <cell r="E398" t="str">
            <v>CTCP Viglacera Đông Triều</v>
          </cell>
          <cell r="F398" t="str">
            <v>Sản xuất sản phẩm khoáng chất phi kim</v>
          </cell>
          <cell r="G398" t="str">
            <v>UPCoM</v>
          </cell>
          <cell r="H398">
            <v>10000000</v>
          </cell>
        </row>
        <row r="399">
          <cell r="D399" t="str">
            <v>DTD</v>
          </cell>
          <cell r="E399" t="str">
            <v>CTCP Đầu tư Phát triển Thành Đạt</v>
          </cell>
          <cell r="F399" t="str">
            <v>Xây dựng nhà cửa, cao ốc</v>
          </cell>
          <cell r="G399" t="str">
            <v>HNX</v>
          </cell>
          <cell r="H399">
            <v>27495553</v>
          </cell>
        </row>
        <row r="400">
          <cell r="D400" t="str">
            <v>DTE</v>
          </cell>
          <cell r="E400" t="str">
            <v>CTCP Đầu tư Năng lượng Đại Trường Thành Holdings</v>
          </cell>
          <cell r="F400" t="str">
            <v>Phát, truyền tải và phân phối điện năng</v>
          </cell>
          <cell r="G400" t="str">
            <v>UPCoM</v>
          </cell>
          <cell r="H400">
            <v>50725887</v>
          </cell>
        </row>
        <row r="401">
          <cell r="D401" t="str">
            <v>DTG</v>
          </cell>
          <cell r="E401" t="str">
            <v>CTCP Dược phẩm Tipharco</v>
          </cell>
          <cell r="F401" t="str">
            <v>Sản xuất hóa chất, dược phẩm</v>
          </cell>
          <cell r="G401" t="str">
            <v>UPCoM</v>
          </cell>
          <cell r="H401">
            <v>6315928</v>
          </cell>
        </row>
        <row r="402">
          <cell r="D402" t="str">
            <v>DTI</v>
          </cell>
          <cell r="E402" t="str">
            <v>CTCP Đầu tư Đức Trung</v>
          </cell>
          <cell r="F402" t="str">
            <v>Bất động sản</v>
          </cell>
          <cell r="G402" t="str">
            <v>UPCoM</v>
          </cell>
          <cell r="H402">
            <v>11521754</v>
          </cell>
        </row>
        <row r="403">
          <cell r="D403" t="str">
            <v>DTK</v>
          </cell>
          <cell r="E403" t="str">
            <v>Tổng Công ty Điện lực TKV - CTCP</v>
          </cell>
          <cell r="F403" t="str">
            <v>Phát, truyền tải và phân phối điện năng</v>
          </cell>
          <cell r="G403" t="str">
            <v>HNX</v>
          </cell>
          <cell r="H403">
            <v>680000000</v>
          </cell>
        </row>
        <row r="404">
          <cell r="D404" t="str">
            <v>DTL</v>
          </cell>
          <cell r="E404" t="str">
            <v>CTCP Đại Thiên Lộc</v>
          </cell>
          <cell r="F404" t="str">
            <v>Sản xuất các sản phẩm kim loại cơ bản</v>
          </cell>
          <cell r="G404" t="str">
            <v>HOSE</v>
          </cell>
          <cell r="H404">
            <v>61435604</v>
          </cell>
        </row>
        <row r="405">
          <cell r="D405" t="str">
            <v>DTP</v>
          </cell>
          <cell r="E405" t="str">
            <v>CTCP Dược phẩm CPC1 Hà Nội</v>
          </cell>
          <cell r="F405" t="str">
            <v>Sản xuất hóa chất, dược phẩm</v>
          </cell>
          <cell r="G405" t="str">
            <v>UPCoM</v>
          </cell>
          <cell r="H405">
            <v>12171782</v>
          </cell>
        </row>
        <row r="406">
          <cell r="D406" t="str">
            <v>DTT</v>
          </cell>
          <cell r="E406" t="str">
            <v>CTCP Kỹ nghệ Đô Thành</v>
          </cell>
          <cell r="F406" t="str">
            <v>Sản xuất các sản phẩm nhựa và cao su</v>
          </cell>
          <cell r="G406" t="str">
            <v>HOSE</v>
          </cell>
          <cell r="H406"/>
        </row>
        <row r="407">
          <cell r="D407" t="str">
            <v>DTV</v>
          </cell>
          <cell r="E407" t="str">
            <v>CTCP Phát triển Điện Trà Vinh</v>
          </cell>
          <cell r="F407" t="str">
            <v>Phát, truyền tải và phân phối điện năng</v>
          </cell>
          <cell r="G407" t="str">
            <v>UPCoM</v>
          </cell>
          <cell r="H407">
            <v>5280000</v>
          </cell>
        </row>
        <row r="408">
          <cell r="D408" t="str">
            <v>DUS</v>
          </cell>
          <cell r="E408" t="str">
            <v>CTCP Dịch vụ Đô thị Đà Lạt</v>
          </cell>
          <cell r="F408" t="str">
            <v>Dịch vụ hành chính và hỗ trợ</v>
          </cell>
          <cell r="G408" t="str">
            <v>UPCoM</v>
          </cell>
          <cell r="H408">
            <v>5614300</v>
          </cell>
        </row>
        <row r="409">
          <cell r="D409" t="str">
            <v>DVC</v>
          </cell>
          <cell r="E409" t="str">
            <v>CTCP Thương mại Dịch vụ Tổng hợp Cảng Hải Phòng</v>
          </cell>
          <cell r="F409" t="str">
            <v>Cửa hàng đồ nội thất và đồ dùng gia đình</v>
          </cell>
          <cell r="G409" t="str">
            <v>UPCoM</v>
          </cell>
          <cell r="H409">
            <v>10793670</v>
          </cell>
        </row>
        <row r="410">
          <cell r="D410" t="str">
            <v>DVG</v>
          </cell>
          <cell r="E410" t="str">
            <v>CTCP Tập đoàn Sơn Đại Việt</v>
          </cell>
          <cell r="F410" t="str">
            <v>Sản xuất hóa chất, dược phẩm</v>
          </cell>
          <cell r="G410" t="str">
            <v>HNX</v>
          </cell>
          <cell r="H410">
            <v>4000000</v>
          </cell>
        </row>
        <row r="411">
          <cell r="D411" t="str">
            <v>DVN</v>
          </cell>
          <cell r="E411" t="str">
            <v>Tổng Công ty Dược Việt Nam - CTCP</v>
          </cell>
          <cell r="F411" t="str">
            <v>Sản xuất hóa chất, dược phẩm</v>
          </cell>
          <cell r="G411" t="str">
            <v>UPCoM</v>
          </cell>
          <cell r="H411">
            <v>237000000</v>
          </cell>
        </row>
        <row r="412">
          <cell r="D412" t="str">
            <v>DVP</v>
          </cell>
          <cell r="E412" t="str">
            <v>CTCP Đầu tư và Phát triển Cảng Đình Vũ</v>
          </cell>
          <cell r="F412" t="str">
            <v>Hỗ trợ vận tải</v>
          </cell>
          <cell r="G412" t="str">
            <v>HOSE</v>
          </cell>
          <cell r="H412">
            <v>40000000</v>
          </cell>
        </row>
        <row r="413">
          <cell r="D413" t="str">
            <v>DVW</v>
          </cell>
          <cell r="E413" t="str">
            <v>CTCP Dịch vụ và Xây dựng Cấp nước Đồng Nai</v>
          </cell>
          <cell r="F413" t="str">
            <v>Xây dựng công nghiệp nặng và dân dụng</v>
          </cell>
          <cell r="G413" t="str">
            <v>UPCoM</v>
          </cell>
          <cell r="H413">
            <v>2345000</v>
          </cell>
        </row>
        <row r="414">
          <cell r="D414" t="str">
            <v>DWS</v>
          </cell>
          <cell r="E414" t="str">
            <v>CTCP Cấp nước và Môi trường đô thị Đồng Tháp</v>
          </cell>
          <cell r="F414" t="str">
            <v>Nước, chất thải và các hệ thống khác</v>
          </cell>
          <cell r="G414" t="str">
            <v>UPCoM</v>
          </cell>
          <cell r="H414">
            <v>25918130</v>
          </cell>
        </row>
        <row r="415">
          <cell r="D415" t="str">
            <v>DX2</v>
          </cell>
          <cell r="E415" t="str">
            <v>CTCP Đầu tư và Xây dựng 319.2</v>
          </cell>
          <cell r="F415" t="str">
            <v>Xây dựng công nghiệp nặng và dân dụng</v>
          </cell>
          <cell r="G415" t="str">
            <v>UPCoM</v>
          </cell>
          <cell r="H415">
            <v>4950000</v>
          </cell>
        </row>
        <row r="416">
          <cell r="D416" t="str">
            <v>DXD</v>
          </cell>
          <cell r="E416" t="str">
            <v>CTCP Đầu tư và Xây dựng - VVMI</v>
          </cell>
          <cell r="F416" t="str">
            <v>Xây dựng công nghiệp nặng và dân dụng</v>
          </cell>
          <cell r="G416" t="str">
            <v>UPCoM</v>
          </cell>
          <cell r="H416">
            <v>1019700</v>
          </cell>
        </row>
        <row r="417">
          <cell r="D417" t="str">
            <v>DXG</v>
          </cell>
          <cell r="E417" t="str">
            <v>CTCP Tập đoàn Đất Xanh</v>
          </cell>
          <cell r="F417" t="str">
            <v>Phát triển bất động sản</v>
          </cell>
          <cell r="G417" t="str">
            <v>HOSE</v>
          </cell>
          <cell r="H417">
            <v>520034667</v>
          </cell>
        </row>
        <row r="418">
          <cell r="D418" t="str">
            <v>DXL</v>
          </cell>
          <cell r="E418" t="str">
            <v>CTCP Du Lịch và Xuất nhập khẩu Lạng Sơn</v>
          </cell>
          <cell r="F418" t="str">
            <v>Khách sạn và phòng ở</v>
          </cell>
          <cell r="G418" t="str">
            <v>UPCoM</v>
          </cell>
          <cell r="H418">
            <v>3957900</v>
          </cell>
        </row>
        <row r="419">
          <cell r="D419" t="str">
            <v>DXP</v>
          </cell>
          <cell r="E419" t="str">
            <v>CTCP Cảng Đoạn Xá</v>
          </cell>
          <cell r="F419" t="str">
            <v>Hỗ trợ vận tải</v>
          </cell>
          <cell r="G419" t="str">
            <v>HNX</v>
          </cell>
          <cell r="H419">
            <v>25987027</v>
          </cell>
        </row>
        <row r="420">
          <cell r="D420" t="str">
            <v>DXS</v>
          </cell>
          <cell r="E420" t="str">
            <v>CTCP Dịch vụ Bất động sản Đất Xanh</v>
          </cell>
          <cell r="F420" t="str">
            <v>Bất động sản</v>
          </cell>
          <cell r="G420" t="str">
            <v>HNX</v>
          </cell>
          <cell r="H420">
            <v>358201208</v>
          </cell>
        </row>
        <row r="421">
          <cell r="D421" t="str">
            <v>DXV</v>
          </cell>
          <cell r="E421" t="str">
            <v>CTCP VICEM Vật liệu Xây dựng Đà Nẵng</v>
          </cell>
          <cell r="F421" t="str">
            <v>Bán buôn hàng lâu bền</v>
          </cell>
          <cell r="G421" t="str">
            <v>HOSE</v>
          </cell>
          <cell r="H421">
            <v>9900000</v>
          </cell>
        </row>
        <row r="422">
          <cell r="D422" t="str">
            <v>DZM</v>
          </cell>
          <cell r="E422" t="str">
            <v>CTCP Cơ điện Dzĩ An</v>
          </cell>
          <cell r="F422" t="str">
            <v>Sản xuất thiết bị, máy móc</v>
          </cell>
          <cell r="G422" t="str">
            <v>HNX</v>
          </cell>
          <cell r="H422">
            <v>5395985</v>
          </cell>
        </row>
        <row r="423">
          <cell r="D423" t="str">
            <v>E12</v>
          </cell>
          <cell r="E423" t="str">
            <v>CTCP Xây dựng Điện VNECO12</v>
          </cell>
          <cell r="F423" t="str">
            <v>Xây dựng công nghiệp nặng và dân dụng</v>
          </cell>
          <cell r="G423" t="str">
            <v>UPCoM</v>
          </cell>
          <cell r="H423">
            <v>1200000</v>
          </cell>
        </row>
        <row r="424">
          <cell r="D424" t="str">
            <v>E1VFVN30</v>
          </cell>
          <cell r="E424" t="str">
            <v>Quỹ ETF VFMVN30</v>
          </cell>
          <cell r="F424" t="str">
            <v>Quỹ, Quỹ tín thác và các công cụ tài chính khác</v>
          </cell>
          <cell r="G424" t="str">
            <v>HOSE</v>
          </cell>
          <cell r="H424">
            <v>404200000</v>
          </cell>
        </row>
        <row r="425">
          <cell r="D425" t="str">
            <v>E29</v>
          </cell>
          <cell r="E425" t="str">
            <v>CTCP Đầu tư Xây dựng và Kỹ thuật 29</v>
          </cell>
          <cell r="F425" t="str">
            <v>Xây dựng nhà cửa, cao ốc</v>
          </cell>
          <cell r="G425" t="str">
            <v>UPCoM</v>
          </cell>
          <cell r="H425">
            <v>5000000</v>
          </cell>
        </row>
        <row r="426">
          <cell r="D426" t="str">
            <v>EAD</v>
          </cell>
          <cell r="E426" t="str">
            <v>CTCP Thủy điện Điện lực Đắk Lắk</v>
          </cell>
          <cell r="F426" t="str">
            <v>Phát, truyền tải và phân phối điện năng</v>
          </cell>
          <cell r="G426" t="str">
            <v>UPCoM</v>
          </cell>
          <cell r="H426"/>
        </row>
        <row r="427">
          <cell r="D427" t="str">
            <v>EBA</v>
          </cell>
          <cell r="E427" t="str">
            <v>CTCP Điện Bắc Nà</v>
          </cell>
          <cell r="F427" t="str">
            <v>Phát, truyền tải và phân phối điện năng</v>
          </cell>
          <cell r="G427" t="str">
            <v>HNX</v>
          </cell>
          <cell r="H427">
            <v>15500000</v>
          </cell>
        </row>
        <row r="428">
          <cell r="D428" t="str">
            <v>EBS</v>
          </cell>
          <cell r="E428" t="str">
            <v>CTCP Sách Giáo dục tại Thành phố Hà Nội</v>
          </cell>
          <cell r="F428" t="str">
            <v>Công nghiệp xuất bản - Ngoại trừ internet</v>
          </cell>
          <cell r="G428" t="str">
            <v>HNX</v>
          </cell>
          <cell r="H428">
            <v>10219484</v>
          </cell>
        </row>
        <row r="429">
          <cell r="D429" t="str">
            <v>ECI</v>
          </cell>
          <cell r="E429" t="str">
            <v>CTCP Bản đồ và Tranh ảnh Giáo dục</v>
          </cell>
          <cell r="F429" t="str">
            <v>Công nghiệp xuất bản - Ngoại trừ internet</v>
          </cell>
          <cell r="G429" t="str">
            <v>HNX</v>
          </cell>
          <cell r="H429">
            <v>1860000</v>
          </cell>
        </row>
        <row r="430">
          <cell r="D430" t="str">
            <v>EFI</v>
          </cell>
          <cell r="E430" t="str">
            <v>CTCP Đầu tư Tài chính Giáo dục</v>
          </cell>
          <cell r="F430" t="str">
            <v>Dịch vụ tư vấn quản lý, khoa học và kỹ thuật</v>
          </cell>
          <cell r="G430" t="str">
            <v>UPCoM</v>
          </cell>
          <cell r="H430">
            <v>10880000</v>
          </cell>
        </row>
        <row r="431">
          <cell r="D431" t="str">
            <v>EIB</v>
          </cell>
          <cell r="E431" t="str">
            <v>Ngân hàng TMCP Xuất nhập khẩu Việt Nam</v>
          </cell>
          <cell r="F431" t="str">
            <v>Trung gian tín dụng và các hoạt động liên quan</v>
          </cell>
          <cell r="G431" t="str">
            <v>HOSE</v>
          </cell>
          <cell r="H431">
            <v>1235522904</v>
          </cell>
        </row>
        <row r="432">
          <cell r="D432" t="str">
            <v>EIC</v>
          </cell>
          <cell r="E432" t="str">
            <v>CTCP EVN Quốc tế</v>
          </cell>
          <cell r="F432" t="str">
            <v>Phát, truyền tải và phân phối điện năng</v>
          </cell>
          <cell r="G432" t="str">
            <v>UPCoM</v>
          </cell>
          <cell r="H432">
            <v>36677145</v>
          </cell>
        </row>
        <row r="433">
          <cell r="D433" t="str">
            <v>EID</v>
          </cell>
          <cell r="E433" t="str">
            <v>CTCP Đầu tư và Phát triển Giáo dục Hà Nội</v>
          </cell>
          <cell r="F433" t="str">
            <v>Công nghiệp xuất bản - Ngoại trừ internet</v>
          </cell>
          <cell r="G433" t="str">
            <v>HNX</v>
          </cell>
          <cell r="H433">
            <v>15000000</v>
          </cell>
        </row>
        <row r="434">
          <cell r="D434" t="str">
            <v>EIN</v>
          </cell>
          <cell r="E434" t="str">
            <v>CTCP Đầu tư - Thương mại - Dịch vụ Điện Lực</v>
          </cell>
          <cell r="F434" t="str">
            <v>Khách sạn và phòng ở</v>
          </cell>
          <cell r="G434" t="str">
            <v>UPCoM</v>
          </cell>
          <cell r="H434">
            <v>45407161</v>
          </cell>
        </row>
        <row r="435">
          <cell r="D435" t="str">
            <v>ELC</v>
          </cell>
          <cell r="E435" t="str">
            <v>CTCP Đầu tư Phát triển Công nghệ Điện tử - Viễn thông</v>
          </cell>
          <cell r="F435" t="str">
            <v>Viễn thông</v>
          </cell>
          <cell r="G435" t="str">
            <v>HOSE</v>
          </cell>
          <cell r="H435">
            <v>50928243</v>
          </cell>
        </row>
        <row r="436">
          <cell r="D436" t="str">
            <v>EMC</v>
          </cell>
          <cell r="E436" t="str">
            <v>CTCP Cơ điện Thủ Đức</v>
          </cell>
          <cell r="F436" t="str">
            <v>Sản xuất trang thiết bị, dụng cụ điện</v>
          </cell>
          <cell r="G436" t="str">
            <v>HOSE</v>
          </cell>
          <cell r="H436">
            <v>15297333</v>
          </cell>
        </row>
        <row r="437">
          <cell r="D437" t="str">
            <v>EME</v>
          </cell>
          <cell r="E437" t="str">
            <v>CTCP Điện cơ</v>
          </cell>
          <cell r="F437" t="str">
            <v>Sản xuất sản phẩm khoáng chất phi kim</v>
          </cell>
          <cell r="G437" t="str">
            <v>UPCoM</v>
          </cell>
          <cell r="H437">
            <v>3780298</v>
          </cell>
        </row>
        <row r="438">
          <cell r="D438" t="str">
            <v>EMG</v>
          </cell>
          <cell r="E438" t="str">
            <v>CTCP Thiết bị Phụ Tùng Cơ Điện</v>
          </cell>
          <cell r="F438" t="str">
            <v>Sản xuất thiết bị, máy móc</v>
          </cell>
          <cell r="G438" t="str">
            <v>UPCoM</v>
          </cell>
          <cell r="H438">
            <v>3000000</v>
          </cell>
        </row>
        <row r="439">
          <cell r="D439" t="str">
            <v>EMS</v>
          </cell>
          <cell r="E439" t="str">
            <v>Tổng Công ty Chuyển phát nhanh Bưu Điện - CTCP</v>
          </cell>
          <cell r="F439" t="str">
            <v>Đưa thư</v>
          </cell>
          <cell r="G439" t="str">
            <v>UPCoM</v>
          </cell>
          <cell r="H439">
            <v>15000478</v>
          </cell>
        </row>
        <row r="440">
          <cell r="D440" t="str">
            <v>EPC</v>
          </cell>
          <cell r="E440" t="str">
            <v>CTCP Cà phê Ea Pốk</v>
          </cell>
          <cell r="F440" t="str">
            <v>Sản xuất thực phẩm</v>
          </cell>
          <cell r="G440" t="str">
            <v>UPCoM</v>
          </cell>
          <cell r="H440">
            <v>9388500</v>
          </cell>
        </row>
        <row r="441">
          <cell r="D441" t="str">
            <v>EPH</v>
          </cell>
          <cell r="E441" t="str">
            <v>CTCP Dịch vụ Xuất bản Giáo dục Hà Nội</v>
          </cell>
          <cell r="F441" t="str">
            <v>Công nghiệp xuất bản - Ngoại trừ internet</v>
          </cell>
          <cell r="G441" t="str">
            <v>UPCoM</v>
          </cell>
          <cell r="H441">
            <v>2500000</v>
          </cell>
        </row>
        <row r="442">
          <cell r="D442" t="str">
            <v>EVE</v>
          </cell>
          <cell r="E442" t="str">
            <v>CTCP Everpia</v>
          </cell>
          <cell r="F442" t="str">
            <v>Sản xuất các sản phẩm may mặc</v>
          </cell>
          <cell r="G442" t="str">
            <v>HOSE</v>
          </cell>
          <cell r="H442">
            <v>41979773</v>
          </cell>
        </row>
        <row r="443">
          <cell r="D443" t="str">
            <v>EVF</v>
          </cell>
          <cell r="E443" t="str">
            <v>Công ty Tài chính Cổ phần Điện lực</v>
          </cell>
          <cell r="F443" t="str">
            <v>Trung gian tín dụng và các hoạt động liên quan</v>
          </cell>
          <cell r="G443" t="str">
            <v>UPCoM</v>
          </cell>
          <cell r="H443">
            <v>264981265</v>
          </cell>
        </row>
        <row r="444">
          <cell r="D444" t="str">
            <v>EVG</v>
          </cell>
          <cell r="E444" t="str">
            <v>CTCP Tập đoàn EverLand</v>
          </cell>
          <cell r="F444" t="str">
            <v>Phát triển bất động sản</v>
          </cell>
          <cell r="G444" t="str">
            <v>HOSE</v>
          </cell>
          <cell r="H444">
            <v>105000000</v>
          </cell>
        </row>
        <row r="445">
          <cell r="D445" t="str">
            <v>EVS</v>
          </cell>
          <cell r="E445" t="str">
            <v>CTCP Chứng khoán Everest</v>
          </cell>
          <cell r="F445" t="str">
            <v>Môi giới chứng khoán, hàng hóa, đầu tư tài chính khác và các hoạt động liên quan</v>
          </cell>
          <cell r="G445" t="str">
            <v>HNX</v>
          </cell>
          <cell r="H445">
            <v>60000400</v>
          </cell>
        </row>
        <row r="446">
          <cell r="D446" t="str">
            <v>FBA</v>
          </cell>
          <cell r="E446" t="str">
            <v>CTCP Tập đoàn Quốc tế FBA</v>
          </cell>
          <cell r="F446" t="str">
            <v>Bán buôn hàng lâu bền</v>
          </cell>
          <cell r="G446" t="str">
            <v>UPCoM</v>
          </cell>
          <cell r="H446"/>
        </row>
        <row r="447">
          <cell r="D447" t="str">
            <v>FBC</v>
          </cell>
          <cell r="E447" t="str">
            <v>CTCP Cơ khí Phổ Yên</v>
          </cell>
          <cell r="F447" t="str">
            <v>Sản xuất phương tiện vận tải</v>
          </cell>
          <cell r="G447" t="str">
            <v>UPCoM</v>
          </cell>
          <cell r="H447">
            <v>3700000</v>
          </cell>
        </row>
        <row r="448">
          <cell r="D448" t="str">
            <v>FCC</v>
          </cell>
          <cell r="E448" t="str">
            <v>CTCP Liên hợp Thực phẩm</v>
          </cell>
          <cell r="F448" t="str">
            <v>Sản xuất thực phẩm</v>
          </cell>
          <cell r="G448" t="str">
            <v>UPCoM</v>
          </cell>
          <cell r="H448">
            <v>5997040</v>
          </cell>
        </row>
        <row r="449">
          <cell r="D449" t="str">
            <v>FCM</v>
          </cell>
          <cell r="E449" t="str">
            <v>CTCP Khoáng sản FECON</v>
          </cell>
          <cell r="F449" t="str">
            <v>Sản xuất sản phẩm khoáng chất phi kim</v>
          </cell>
          <cell r="G449" t="str">
            <v>HOSE</v>
          </cell>
          <cell r="H449">
            <v>41000000</v>
          </cell>
        </row>
        <row r="450">
          <cell r="D450" t="str">
            <v>FCN</v>
          </cell>
          <cell r="E450" t="str">
            <v>CTCP FECON</v>
          </cell>
          <cell r="F450" t="str">
            <v>Nhà thầu chuyên môn</v>
          </cell>
          <cell r="G450" t="str">
            <v>HOSE</v>
          </cell>
          <cell r="H450">
            <v>125439005</v>
          </cell>
        </row>
        <row r="451">
          <cell r="D451" t="str">
            <v>FCS</v>
          </cell>
          <cell r="E451" t="str">
            <v>CTCP Lương thực Thành phố Hồ Chí Minh</v>
          </cell>
          <cell r="F451" t="str">
            <v>Sản xuất thực phẩm</v>
          </cell>
          <cell r="G451" t="str">
            <v>UPCoM</v>
          </cell>
          <cell r="H451">
            <v>29450000</v>
          </cell>
        </row>
        <row r="452">
          <cell r="D452" t="str">
            <v>FDC</v>
          </cell>
          <cell r="E452" t="str">
            <v>CTCP Ngoại thương và Phát triển Đầu tư Thành phố Hồ Chí Minh</v>
          </cell>
          <cell r="F452" t="str">
            <v>Bất động sản</v>
          </cell>
          <cell r="G452" t="str">
            <v>HOSE</v>
          </cell>
          <cell r="H452">
            <v>38629988</v>
          </cell>
        </row>
        <row r="453">
          <cell r="D453" t="str">
            <v>FDG</v>
          </cell>
          <cell r="E453" t="str">
            <v>CTCP Docimexco</v>
          </cell>
          <cell r="F453" t="str">
            <v>Bán buôn hàng tiêu dùng</v>
          </cell>
          <cell r="G453" t="str">
            <v>UPCoM</v>
          </cell>
          <cell r="H453">
            <v>13200000</v>
          </cell>
        </row>
        <row r="454">
          <cell r="D454" t="str">
            <v>FGL</v>
          </cell>
          <cell r="E454" t="str">
            <v>CTCP Cà phê Gia Lai</v>
          </cell>
          <cell r="F454" t="str">
            <v>Trồng trọt</v>
          </cell>
          <cell r="G454" t="str">
            <v>UPCoM</v>
          </cell>
          <cell r="H454">
            <v>14676300</v>
          </cell>
        </row>
        <row r="455">
          <cell r="D455" t="str">
            <v>FHN</v>
          </cell>
          <cell r="E455" t="str">
            <v>CTCP Xuất nhập khẩu Lương thực Thực phẩm Hà Nội</v>
          </cell>
          <cell r="F455" t="str">
            <v>Sản xuất thực phẩm</v>
          </cell>
          <cell r="G455" t="str">
            <v>UPCoM</v>
          </cell>
          <cell r="H455">
            <v>3000000</v>
          </cell>
        </row>
        <row r="456">
          <cell r="D456" t="str">
            <v>FHS</v>
          </cell>
          <cell r="E456" t="str">
            <v>CTCP Phát hành Sách Thành phố Hồ Chí Minh</v>
          </cell>
          <cell r="F456" t="str">
            <v>Cửa hàng đồ dùng thể thao, đồ cổ, sách và âm nhạc</v>
          </cell>
          <cell r="G456" t="str">
            <v>UPCoM</v>
          </cell>
          <cell r="H456">
            <v>9108277</v>
          </cell>
        </row>
        <row r="457">
          <cell r="D457" t="str">
            <v>FIC</v>
          </cell>
          <cell r="E457" t="str">
            <v>Tổng Công ty Vật liệu Xây dựng số 1 - CTCP</v>
          </cell>
          <cell r="F457" t="str">
            <v>Sản xuất sản phẩm khoáng chất phi kim</v>
          </cell>
          <cell r="G457" t="str">
            <v>UPCoM</v>
          </cell>
          <cell r="H457">
            <v>127000000</v>
          </cell>
        </row>
        <row r="458">
          <cell r="D458" t="str">
            <v>FID</v>
          </cell>
          <cell r="E458" t="str">
            <v>CTCP Đầu tư và Phát triển Doanh nghiệp Việt Nam</v>
          </cell>
          <cell r="F458" t="str">
            <v>Bán buôn hàng lâu bền</v>
          </cell>
          <cell r="G458" t="str">
            <v>HNX</v>
          </cell>
          <cell r="H458">
            <v>23539958</v>
          </cell>
        </row>
        <row r="459">
          <cell r="D459" t="str">
            <v>FIR</v>
          </cell>
          <cell r="E459" t="str">
            <v>CTCP Địa ốc First Real</v>
          </cell>
          <cell r="F459" t="str">
            <v>Phát triển bất động sản</v>
          </cell>
          <cell r="G459" t="str">
            <v>HOSE</v>
          </cell>
          <cell r="H459">
            <v>27039864</v>
          </cell>
        </row>
        <row r="460">
          <cell r="D460" t="str">
            <v>FIT</v>
          </cell>
          <cell r="E460" t="str">
            <v>CTCP Tập đoàn F.I.T</v>
          </cell>
          <cell r="F460" t="str">
            <v>Sản xuất hóa chất, dược phẩm</v>
          </cell>
          <cell r="G460" t="str">
            <v>HOSE</v>
          </cell>
          <cell r="H460">
            <v>254730247</v>
          </cell>
        </row>
        <row r="461">
          <cell r="D461" t="str">
            <v>FLC</v>
          </cell>
          <cell r="E461" t="str">
            <v>CTCP Tập đoàn FLC</v>
          </cell>
          <cell r="F461" t="str">
            <v>Phát triển bất động sản</v>
          </cell>
          <cell r="G461" t="str">
            <v>HOSE</v>
          </cell>
          <cell r="H461">
            <v>709997807</v>
          </cell>
        </row>
        <row r="462">
          <cell r="D462" t="str">
            <v>FMC</v>
          </cell>
          <cell r="E462" t="str">
            <v>CTCP Thực phẩm Sao Ta</v>
          </cell>
          <cell r="F462" t="str">
            <v>Sản xuất thực phẩm</v>
          </cell>
          <cell r="G462" t="str">
            <v>HOSE</v>
          </cell>
          <cell r="H462">
            <v>58850000</v>
          </cell>
        </row>
        <row r="463">
          <cell r="D463" t="str">
            <v>FOC</v>
          </cell>
          <cell r="E463" t="str">
            <v>CTCP Dịch vụ Trực tuyến FPT</v>
          </cell>
          <cell r="F463" t="str">
            <v>Viễn thông</v>
          </cell>
          <cell r="G463" t="str">
            <v>UPCoM</v>
          </cell>
          <cell r="H463">
            <v>18471275</v>
          </cell>
        </row>
        <row r="464">
          <cell r="D464" t="str">
            <v>FOX</v>
          </cell>
          <cell r="E464" t="str">
            <v>CTCP Viễn thông FPT</v>
          </cell>
          <cell r="F464" t="str">
            <v>Viễn thông</v>
          </cell>
          <cell r="G464" t="str">
            <v>UPCoM</v>
          </cell>
          <cell r="H464">
            <v>273646461</v>
          </cell>
        </row>
        <row r="465">
          <cell r="D465" t="str">
            <v>FPT</v>
          </cell>
          <cell r="E465" t="str">
            <v>CTCP FPT</v>
          </cell>
          <cell r="F465" t="str">
            <v>Công nghiệp xuất bản - Ngoại trừ internet</v>
          </cell>
          <cell r="G465" t="str">
            <v>HOSE</v>
          </cell>
          <cell r="H465">
            <v>907551649</v>
          </cell>
        </row>
        <row r="466">
          <cell r="D466" t="str">
            <v>FRC</v>
          </cell>
          <cell r="E466" t="str">
            <v>CTCP Lâm đặc sản Xuất khẩu Quảng Nam</v>
          </cell>
          <cell r="F466" t="str">
            <v>Sản xuất các sản phẩm gỗ</v>
          </cell>
          <cell r="G466" t="str">
            <v>UPCoM</v>
          </cell>
          <cell r="H466"/>
        </row>
        <row r="467">
          <cell r="D467" t="str">
            <v>FRM</v>
          </cell>
          <cell r="E467" t="str">
            <v>CTCP Lâm Nghiệp Sài Gòn</v>
          </cell>
          <cell r="F467" t="str">
            <v>Trồng rừng và khai thác gỗ</v>
          </cell>
          <cell r="G467" t="str">
            <v>UPCoM</v>
          </cell>
          <cell r="H467">
            <v>11700000</v>
          </cell>
        </row>
        <row r="468">
          <cell r="D468" t="str">
            <v>FRT</v>
          </cell>
          <cell r="E468" t="str">
            <v>CTCP Bán lẻ Kỹ thuật số FPT</v>
          </cell>
          <cell r="F468" t="str">
            <v>Cửa hàng thiết bị điện tử gia đình</v>
          </cell>
          <cell r="G468" t="str">
            <v>HOSE</v>
          </cell>
          <cell r="H468">
            <v>78981792</v>
          </cell>
        </row>
        <row r="469">
          <cell r="D469" t="str">
            <v>FSO</v>
          </cell>
          <cell r="E469" t="str">
            <v>CTCP Cơ khí đóng tàu Thủy sản Việt Nam</v>
          </cell>
          <cell r="F469" t="str">
            <v>Sản xuất phương tiện vận tải</v>
          </cell>
          <cell r="G469" t="str">
            <v>UPCoM</v>
          </cell>
          <cell r="H469">
            <v>5624966</v>
          </cell>
        </row>
        <row r="470">
          <cell r="D470" t="str">
            <v>FT1</v>
          </cell>
          <cell r="E470" t="str">
            <v>CTCP Phụ tùng Máy số 1</v>
          </cell>
          <cell r="F470" t="str">
            <v>Sản xuất thiết bị, máy móc</v>
          </cell>
          <cell r="G470" t="str">
            <v>UPCoM</v>
          </cell>
          <cell r="H470">
            <v>7079853</v>
          </cell>
        </row>
        <row r="471">
          <cell r="D471" t="str">
            <v>FTI</v>
          </cell>
          <cell r="E471" t="str">
            <v>CTCP Công nghiệp - Thương mại Hữu Nghị</v>
          </cell>
          <cell r="F471" t="str">
            <v>Bất động sản</v>
          </cell>
          <cell r="G471" t="str">
            <v>UPCoM</v>
          </cell>
          <cell r="H471">
            <v>3943710</v>
          </cell>
        </row>
        <row r="472">
          <cell r="D472" t="str">
            <v>FTM</v>
          </cell>
          <cell r="E472" t="str">
            <v>CTCP Đầu tư và Phát triển Đức Quân</v>
          </cell>
          <cell r="F472" t="str">
            <v>Sản xuất sợi, vải</v>
          </cell>
          <cell r="G472" t="str">
            <v>HOSE</v>
          </cell>
          <cell r="H472">
            <v>50000000</v>
          </cell>
        </row>
        <row r="473">
          <cell r="D473" t="str">
            <v>FTS</v>
          </cell>
          <cell r="E473" t="str">
            <v>CTCP Chứng khoán FPT</v>
          </cell>
          <cell r="F473" t="str">
            <v>Môi giới chứng khoán, hàng hóa, đầu tư tài chính khác và các hoạt động liên quan</v>
          </cell>
          <cell r="G473" t="str">
            <v>HOSE</v>
          </cell>
          <cell r="H473">
            <v>145493097</v>
          </cell>
        </row>
        <row r="474">
          <cell r="D474" t="str">
            <v>FUCTVGF2</v>
          </cell>
          <cell r="E474" t="str">
            <v>Quỹ Đầu tư tăng trưởng Thiên Việt 2</v>
          </cell>
          <cell r="F474" t="str">
            <v>Quỹ, Quỹ tín thác và các công cụ tài chính khác</v>
          </cell>
          <cell r="G474" t="str">
            <v>HOSE</v>
          </cell>
          <cell r="H474">
            <v>17000000</v>
          </cell>
        </row>
        <row r="475">
          <cell r="D475" t="str">
            <v>FUCVREIT</v>
          </cell>
          <cell r="E475" t="str">
            <v>Quỹ đầu tư Bất động sản Techcom Việt Nam</v>
          </cell>
          <cell r="F475" t="str">
            <v>Quỹ, Quỹ tín thác và các công cụ tài chính khác</v>
          </cell>
          <cell r="G475" t="str">
            <v>HOSE</v>
          </cell>
          <cell r="H475">
            <v>5000000</v>
          </cell>
        </row>
        <row r="476">
          <cell r="D476" t="str">
            <v>FUEMAV30</v>
          </cell>
          <cell r="E476" t="str">
            <v>Chứng chỉ Quỹ ETF MAFM VN30</v>
          </cell>
          <cell r="F476" t="str">
            <v>Quỹ, Quỹ tín thác và các công cụ tài chính khác</v>
          </cell>
          <cell r="G476" t="str">
            <v>HOSE</v>
          </cell>
          <cell r="H476">
            <v>35400000</v>
          </cell>
        </row>
        <row r="477">
          <cell r="D477" t="str">
            <v>FUESSV30</v>
          </cell>
          <cell r="E477" t="str">
            <v>Quỹ ETF SSIAM VN30</v>
          </cell>
          <cell r="F477" t="str">
            <v>Quỹ, Quỹ tín thác và các công cụ tài chính khác</v>
          </cell>
          <cell r="G477" t="str">
            <v>HOSE</v>
          </cell>
          <cell r="H477">
            <v>4800000</v>
          </cell>
        </row>
        <row r="478">
          <cell r="D478" t="str">
            <v>FUESSV50</v>
          </cell>
          <cell r="E478" t="str">
            <v>Quỹ ETF SSIAM VNX50</v>
          </cell>
          <cell r="F478" t="str">
            <v>Quỹ, Quỹ tín thác và các công cụ tài chính khác</v>
          </cell>
          <cell r="G478" t="str">
            <v>HOSE</v>
          </cell>
          <cell r="H478">
            <v>13500000</v>
          </cell>
        </row>
        <row r="479">
          <cell r="D479" t="str">
            <v>FUESSVFL</v>
          </cell>
          <cell r="E479" t="str">
            <v>Quỹ ETF SSIAM VNFIN LEAD</v>
          </cell>
          <cell r="F479" t="str">
            <v>Quỹ, Quỹ tín thác và các công cụ tài chính khác</v>
          </cell>
          <cell r="G479" t="str">
            <v>HOSE</v>
          </cell>
          <cell r="H479">
            <v>128900000</v>
          </cell>
        </row>
        <row r="480">
          <cell r="D480" t="str">
            <v>FUEVFVND</v>
          </cell>
          <cell r="E480" t="str">
            <v>Quỹ ETF DCVFMVN DIAMOND</v>
          </cell>
          <cell r="F480" t="str">
            <v>Quỹ, Quỹ tín thác và các công cụ tài chính khác</v>
          </cell>
          <cell r="G480" t="str">
            <v>HOSE</v>
          </cell>
          <cell r="H480">
            <v>534200000</v>
          </cell>
        </row>
        <row r="481">
          <cell r="D481" t="str">
            <v>FUEVN100</v>
          </cell>
          <cell r="E481" t="str">
            <v>Quỹ ETF VINACAPITALVN100</v>
          </cell>
          <cell r="F481" t="str">
            <v>Quỹ, Quỹ tín thác và các công cụ tài chính khác</v>
          </cell>
          <cell r="G481" t="str">
            <v>HOSE</v>
          </cell>
          <cell r="H481">
            <v>5800000</v>
          </cell>
        </row>
        <row r="482">
          <cell r="D482" t="str">
            <v>G20</v>
          </cell>
          <cell r="E482" t="str">
            <v>CTCP Đầu tư Dệt may Vĩnh Phúc</v>
          </cell>
          <cell r="F482" t="str">
            <v>Sản xuất sợi, vải</v>
          </cell>
          <cell r="G482" t="str">
            <v>UPCoM</v>
          </cell>
          <cell r="H482">
            <v>14400000</v>
          </cell>
        </row>
        <row r="483">
          <cell r="D483" t="str">
            <v>G36</v>
          </cell>
          <cell r="E483" t="str">
            <v>Tổng Công ty 36 - CTCP</v>
          </cell>
          <cell r="F483" t="str">
            <v>Xây dựng công nghiệp nặng và dân dụng</v>
          </cell>
          <cell r="G483" t="str">
            <v>UPCoM</v>
          </cell>
          <cell r="H483">
            <v>101756575</v>
          </cell>
        </row>
        <row r="484">
          <cell r="D484" t="str">
            <v>GAB</v>
          </cell>
          <cell r="E484" t="str">
            <v>CTCP Đầu tư Khai Khoáng và Quản lý Tài sản FLC</v>
          </cell>
          <cell r="F484" t="str">
            <v>Sản xuất sản phẩm khoáng chất phi kim</v>
          </cell>
          <cell r="G484" t="str">
            <v>HOSE</v>
          </cell>
          <cell r="H484">
            <v>13800000</v>
          </cell>
        </row>
        <row r="485">
          <cell r="D485" t="str">
            <v>GAS</v>
          </cell>
          <cell r="E485" t="str">
            <v>Tổng Công ty Khí Việt Nam - CTCP</v>
          </cell>
          <cell r="F485" t="str">
            <v>Phân phối khí đốt thiên nhiên</v>
          </cell>
          <cell r="G485" t="str">
            <v>HOSE</v>
          </cell>
          <cell r="H485">
            <v>1913950000</v>
          </cell>
        </row>
        <row r="486">
          <cell r="D486" t="str">
            <v>GCB</v>
          </cell>
          <cell r="E486" t="str">
            <v>CTCP Petec Bình Định</v>
          </cell>
          <cell r="F486" t="str">
            <v>Trạm xăng</v>
          </cell>
          <cell r="G486" t="str">
            <v>UPCoM</v>
          </cell>
          <cell r="H486"/>
        </row>
        <row r="487">
          <cell r="D487" t="str">
            <v>GDT</v>
          </cell>
          <cell r="E487" t="str">
            <v>CTCP Chế biến Gỗ Đức Thành</v>
          </cell>
          <cell r="F487" t="str">
            <v>Sản xuất trang thiết bị nội thất và sản phẩm liên quan</v>
          </cell>
          <cell r="G487" t="str">
            <v>HOSE</v>
          </cell>
          <cell r="H487">
            <v>17980358</v>
          </cell>
        </row>
        <row r="488">
          <cell r="D488" t="str">
            <v>GDW</v>
          </cell>
          <cell r="E488" t="str">
            <v>CTCP Cấp nước Gia Định</v>
          </cell>
          <cell r="F488" t="str">
            <v>Nước, chất thải và các hệ thống khác</v>
          </cell>
          <cell r="G488" t="str">
            <v>HNX</v>
          </cell>
          <cell r="H488">
            <v>9500000</v>
          </cell>
        </row>
        <row r="489">
          <cell r="D489" t="str">
            <v>GE2</v>
          </cell>
          <cell r="E489" t="str">
            <v>Tổng Công ty Phát điện 2 - CTCP</v>
          </cell>
          <cell r="F489" t="str">
            <v>Phát, truyền tải và phân phối điện năng</v>
          </cell>
          <cell r="G489" t="str">
            <v>UPCoM</v>
          </cell>
          <cell r="H489">
            <v>262500</v>
          </cell>
        </row>
        <row r="490">
          <cell r="D490" t="str">
            <v>GEG</v>
          </cell>
          <cell r="E490" t="str">
            <v>CTCP Điện Gia Lai</v>
          </cell>
          <cell r="F490" t="str">
            <v>Phát, truyền tải và phân phối điện năng</v>
          </cell>
          <cell r="G490" t="str">
            <v>HOSE</v>
          </cell>
          <cell r="H490">
            <v>271175188</v>
          </cell>
        </row>
        <row r="491">
          <cell r="D491" t="str">
            <v>GER</v>
          </cell>
          <cell r="E491" t="str">
            <v>CTCP Thể thao Ngôi sao Geru</v>
          </cell>
          <cell r="F491" t="str">
            <v>Sản xuất các sản phẩm nhựa và cao su</v>
          </cell>
          <cell r="G491" t="str">
            <v>UPCoM</v>
          </cell>
          <cell r="H491">
            <v>2200000</v>
          </cell>
        </row>
        <row r="492">
          <cell r="D492" t="str">
            <v>GEX</v>
          </cell>
          <cell r="E492" t="str">
            <v>CTCP Tập đoàn GELEX</v>
          </cell>
          <cell r="F492" t="str">
            <v>Sản xuất trang thiết bị, dụng cụ điện</v>
          </cell>
          <cell r="G492" t="str">
            <v>HOSE</v>
          </cell>
          <cell r="H492">
            <v>781190400</v>
          </cell>
        </row>
        <row r="493">
          <cell r="D493" t="str">
            <v>GGG</v>
          </cell>
          <cell r="E493" t="str">
            <v>CTCP Ô tô Giải Phóng</v>
          </cell>
          <cell r="F493" t="str">
            <v>Sản xuất phương tiện vận tải</v>
          </cell>
          <cell r="G493" t="str">
            <v>UPCoM</v>
          </cell>
          <cell r="H493">
            <v>9635456</v>
          </cell>
        </row>
        <row r="494">
          <cell r="D494" t="str">
            <v>GH3</v>
          </cell>
          <cell r="E494" t="str">
            <v>CTCP Công trình Giao thông Hà Nội</v>
          </cell>
          <cell r="F494" t="str">
            <v>Xây dựng công nghiệp nặng và dân dụng</v>
          </cell>
          <cell r="G494" t="str">
            <v>UPCoM</v>
          </cell>
          <cell r="H494">
            <v>11500000</v>
          </cell>
        </row>
        <row r="495">
          <cell r="D495" t="str">
            <v>GHC</v>
          </cell>
          <cell r="E495" t="str">
            <v>CTCP Thủy điện Gia Lai</v>
          </cell>
          <cell r="F495" t="str">
            <v>Phát, truyền tải và phân phối điện năng</v>
          </cell>
          <cell r="G495" t="str">
            <v>UPCoM</v>
          </cell>
          <cell r="H495">
            <v>31775000</v>
          </cell>
        </row>
        <row r="496">
          <cell r="D496" t="str">
            <v>GIC</v>
          </cell>
          <cell r="E496" t="str">
            <v>CTCP Đầu tư Dịch vụ và Phát triển Xanh</v>
          </cell>
          <cell r="F496" t="str">
            <v>Hỗ trợ vận tải</v>
          </cell>
          <cell r="G496" t="str">
            <v>HNX</v>
          </cell>
          <cell r="H496">
            <v>12120000</v>
          </cell>
        </row>
        <row r="497">
          <cell r="D497" t="str">
            <v>GIL</v>
          </cell>
          <cell r="E497" t="str">
            <v>CTCP Sản xuất Kinh doanh và Xuất nhập khẩu Bình Thạnh</v>
          </cell>
          <cell r="F497" t="str">
            <v>Sản xuất các sản phẩm may mặc</v>
          </cell>
          <cell r="G497" t="str">
            <v>HOSE</v>
          </cell>
          <cell r="H497">
            <v>36000000</v>
          </cell>
        </row>
        <row r="498">
          <cell r="D498" t="str">
            <v>GKM</v>
          </cell>
          <cell r="E498" t="str">
            <v>CTCP Khang Minh Group</v>
          </cell>
          <cell r="F498" t="str">
            <v>Sản xuất sản phẩm khoáng chất phi kim</v>
          </cell>
          <cell r="G498" t="str">
            <v>HNX</v>
          </cell>
          <cell r="H498">
            <v>14883709</v>
          </cell>
        </row>
        <row r="499">
          <cell r="D499" t="str">
            <v>GLC</v>
          </cell>
          <cell r="E499" t="str">
            <v>CTCP Vàng Lào Cai</v>
          </cell>
          <cell r="F499" t="str">
            <v>Khai khoáng (ngoại trừ dầu mỏ và khí đốt)</v>
          </cell>
          <cell r="G499" t="str">
            <v>UPCoM</v>
          </cell>
          <cell r="H499">
            <v>10500000</v>
          </cell>
        </row>
        <row r="500">
          <cell r="D500" t="str">
            <v>GLT</v>
          </cell>
          <cell r="E500" t="str">
            <v>CTCP Kỹ thuật Điện Toàn cầu</v>
          </cell>
          <cell r="F500" t="str">
            <v>Viễn thông</v>
          </cell>
          <cell r="G500" t="str">
            <v>HNX</v>
          </cell>
          <cell r="H500">
            <v>9236446</v>
          </cell>
        </row>
        <row r="501">
          <cell r="D501" t="str">
            <v>GLW</v>
          </cell>
          <cell r="E501" t="str">
            <v>CTCP Cấp thoát nước Gia Lai</v>
          </cell>
          <cell r="F501" t="str">
            <v>Nước, chất thải và các hệ thống khác</v>
          </cell>
          <cell r="G501" t="str">
            <v>UPCoM</v>
          </cell>
          <cell r="H501">
            <v>18000000</v>
          </cell>
        </row>
        <row r="502">
          <cell r="D502" t="str">
            <v>GMA</v>
          </cell>
          <cell r="E502" t="str">
            <v>CTCP Enteco Việt Nam</v>
          </cell>
          <cell r="F502" t="str">
            <v>Bán buôn hàng lâu bền</v>
          </cell>
          <cell r="G502" t="str">
            <v>HNX</v>
          </cell>
          <cell r="H502">
            <v>6000000</v>
          </cell>
        </row>
        <row r="503">
          <cell r="D503" t="str">
            <v>GMC</v>
          </cell>
          <cell r="E503" t="str">
            <v>CTCP Garmex Sài Gòn</v>
          </cell>
          <cell r="F503" t="str">
            <v>Sản xuất các sản phẩm may mặc</v>
          </cell>
          <cell r="G503" t="str">
            <v>HOSE</v>
          </cell>
          <cell r="H503">
            <v>30005280</v>
          </cell>
        </row>
        <row r="504">
          <cell r="D504" t="str">
            <v>GMD</v>
          </cell>
          <cell r="E504" t="str">
            <v>CTCP Gemadept</v>
          </cell>
          <cell r="F504" t="str">
            <v>Hỗ trợ vận tải</v>
          </cell>
          <cell r="G504" t="str">
            <v>HOSE</v>
          </cell>
          <cell r="H504">
            <v>301377957</v>
          </cell>
        </row>
        <row r="505">
          <cell r="D505" t="str">
            <v>GMX</v>
          </cell>
          <cell r="E505" t="str">
            <v>CTCP Gạch ngói Gốm Xây dựng Mỹ Xuân</v>
          </cell>
          <cell r="F505" t="str">
            <v>Sản xuất sản phẩm khoáng chất phi kim</v>
          </cell>
          <cell r="G505" t="str">
            <v>HNX</v>
          </cell>
          <cell r="H505">
            <v>5320694</v>
          </cell>
        </row>
        <row r="506">
          <cell r="D506" t="str">
            <v>GND</v>
          </cell>
          <cell r="E506" t="str">
            <v>CTCP Gạch ngói Đồng Nai</v>
          </cell>
          <cell r="F506" t="str">
            <v>Sản xuất sản phẩm khoáng chất phi kim</v>
          </cell>
          <cell r="G506" t="str">
            <v>UPCoM</v>
          </cell>
          <cell r="H506"/>
        </row>
        <row r="507">
          <cell r="D507" t="str">
            <v>GQN</v>
          </cell>
          <cell r="E507" t="str">
            <v>Trung tâm Giống Thủy sản Quảng Nam</v>
          </cell>
          <cell r="F507" t="str">
            <v>Chăn nuôi</v>
          </cell>
          <cell r="G507" t="str">
            <v>UPCoM</v>
          </cell>
          <cell r="H507">
            <v>846000</v>
          </cell>
        </row>
        <row r="508">
          <cell r="D508" t="str">
            <v>GSM</v>
          </cell>
          <cell r="E508" t="str">
            <v>CTCP Thủy điện Hương Sơn</v>
          </cell>
          <cell r="F508" t="str">
            <v>Phát, truyền tải và phân phối điện năng</v>
          </cell>
          <cell r="G508" t="str">
            <v>UPCoM</v>
          </cell>
          <cell r="H508">
            <v>28562000</v>
          </cell>
        </row>
        <row r="509">
          <cell r="D509" t="str">
            <v>GSP</v>
          </cell>
          <cell r="E509" t="str">
            <v>CTCP Vận tải Sản Phẩm Khí Quốc tế</v>
          </cell>
          <cell r="F509" t="str">
            <v>Vận tải đường thủy</v>
          </cell>
          <cell r="G509" t="str">
            <v>HOSE</v>
          </cell>
          <cell r="H509">
            <v>36000000</v>
          </cell>
        </row>
        <row r="510">
          <cell r="D510" t="str">
            <v>GTA</v>
          </cell>
          <cell r="E510" t="str">
            <v>CTCP Chế biến gỗ Thuận An</v>
          </cell>
          <cell r="F510" t="str">
            <v>Sản xuất các sản phẩm gỗ</v>
          </cell>
          <cell r="G510" t="str">
            <v>HOSE</v>
          </cell>
          <cell r="H510">
            <v>10400000</v>
          </cell>
        </row>
        <row r="511">
          <cell r="D511" t="str">
            <v>GTD</v>
          </cell>
          <cell r="E511" t="str">
            <v>CTCP Giầy Thượng Đình</v>
          </cell>
          <cell r="F511" t="str">
            <v>Sản xuất các sản phẩm da và liên quan</v>
          </cell>
          <cell r="G511" t="str">
            <v>UPCoM</v>
          </cell>
          <cell r="H511">
            <v>9300000</v>
          </cell>
        </row>
        <row r="512">
          <cell r="D512" t="str">
            <v>GTH</v>
          </cell>
          <cell r="E512" t="str">
            <v>CTCP Xây dựng - Giao thông Thừa Thiên Huế</v>
          </cell>
          <cell r="F512" t="str">
            <v>Xây dựng nhà cửa, cao ốc</v>
          </cell>
          <cell r="G512" t="str">
            <v>UPCoM</v>
          </cell>
          <cell r="H512">
            <v>2735500</v>
          </cell>
        </row>
        <row r="513">
          <cell r="D513" t="str">
            <v>GTK</v>
          </cell>
          <cell r="E513" t="str">
            <v>CTCP Giầy Thụy Khê</v>
          </cell>
          <cell r="F513" t="str">
            <v>Sản xuất các sản phẩm da và liên quan</v>
          </cell>
          <cell r="G513" t="str">
            <v>UPCoM</v>
          </cell>
          <cell r="H513">
            <v>7700000</v>
          </cell>
        </row>
        <row r="514">
          <cell r="D514" t="str">
            <v>GTN</v>
          </cell>
          <cell r="E514" t="str">
            <v>CTCP GTNFoods</v>
          </cell>
          <cell r="F514" t="str">
            <v>Sản xuất thực phẩm</v>
          </cell>
          <cell r="G514" t="str">
            <v>HOSE</v>
          </cell>
          <cell r="H514">
            <v>250000000</v>
          </cell>
        </row>
        <row r="515">
          <cell r="D515" t="str">
            <v>GTS</v>
          </cell>
          <cell r="E515" t="str">
            <v>CTCP Công trình Giao thông Sài Gòn</v>
          </cell>
          <cell r="F515" t="str">
            <v>Xây dựng công nghiệp nặng và dân dụng</v>
          </cell>
          <cell r="G515" t="str">
            <v>UPCoM</v>
          </cell>
          <cell r="H515">
            <v>28499764</v>
          </cell>
        </row>
        <row r="516">
          <cell r="D516" t="str">
            <v>GTT</v>
          </cell>
          <cell r="E516" t="str">
            <v>CTCP Thuận Thảo</v>
          </cell>
          <cell r="F516" t="str">
            <v>Vận tải trung chuyển và vận tải hành khách bằng đường bộ</v>
          </cell>
          <cell r="G516" t="str">
            <v>UPCoM</v>
          </cell>
          <cell r="H516">
            <v>43503000</v>
          </cell>
        </row>
        <row r="517">
          <cell r="D517" t="str">
            <v>GVR</v>
          </cell>
          <cell r="E517" t="str">
            <v>Tập đoàn Công nghiệp Cao su Việt Nam - CTCP</v>
          </cell>
          <cell r="F517" t="str">
            <v>Sản xuất hóa chất, dược phẩm</v>
          </cell>
          <cell r="G517" t="str">
            <v>HOSE</v>
          </cell>
          <cell r="H517">
            <v>4000000000</v>
          </cell>
        </row>
        <row r="518">
          <cell r="D518" t="str">
            <v>GVT</v>
          </cell>
          <cell r="E518" t="str">
            <v>CTCP Giấy Việt Trì</v>
          </cell>
          <cell r="F518" t="str">
            <v>Sản xuất giấy</v>
          </cell>
          <cell r="G518" t="str">
            <v>UPCoM</v>
          </cell>
          <cell r="H518">
            <v>11605100</v>
          </cell>
        </row>
        <row r="519">
          <cell r="D519" t="str">
            <v>H11</v>
          </cell>
          <cell r="E519" t="str">
            <v>CTCP Xây dựng HUD101</v>
          </cell>
          <cell r="F519" t="str">
            <v>Xây dựng công nghiệp nặng và dân dụng</v>
          </cell>
          <cell r="G519" t="str">
            <v>UPCoM</v>
          </cell>
          <cell r="H519">
            <v>1060000</v>
          </cell>
        </row>
        <row r="520">
          <cell r="D520" t="str">
            <v>HAB</v>
          </cell>
          <cell r="E520" t="str">
            <v>CTCP Sách và Thiết bị Trường học Hà Nội</v>
          </cell>
          <cell r="F520" t="str">
            <v>Công nghiệp xuất bản - Ngoại trừ internet</v>
          </cell>
          <cell r="G520" t="str">
            <v>UPCoM</v>
          </cell>
          <cell r="H520">
            <v>2000000</v>
          </cell>
        </row>
        <row r="521">
          <cell r="D521" t="str">
            <v>HAC</v>
          </cell>
          <cell r="E521" t="str">
            <v>CTCP Chứng khoán Hải Phòng</v>
          </cell>
          <cell r="F521" t="str">
            <v>Môi giới chứng khoán, hàng hóa, đầu tư tài chính khác và các hoạt động liên quan</v>
          </cell>
          <cell r="G521" t="str">
            <v>UPCoM</v>
          </cell>
          <cell r="H521">
            <v>29181096</v>
          </cell>
        </row>
        <row r="522">
          <cell r="D522" t="str">
            <v>HAD</v>
          </cell>
          <cell r="E522" t="str">
            <v>CTCP Bia Hà Nội - Hải Dương</v>
          </cell>
          <cell r="F522" t="str">
            <v>Sản xuất đồ uống và thuốc lá</v>
          </cell>
          <cell r="G522" t="str">
            <v>HNX</v>
          </cell>
          <cell r="H522">
            <v>4000000</v>
          </cell>
        </row>
        <row r="523">
          <cell r="D523" t="str">
            <v>HAF</v>
          </cell>
          <cell r="E523" t="str">
            <v>CTCP Thực phẩm Hà Nội</v>
          </cell>
          <cell r="F523" t="str">
            <v>Sản xuất thực phẩm</v>
          </cell>
          <cell r="G523" t="str">
            <v>UPCoM</v>
          </cell>
          <cell r="H523">
            <v>14500000</v>
          </cell>
        </row>
        <row r="524">
          <cell r="D524" t="str">
            <v>HAG</v>
          </cell>
          <cell r="E524" t="str">
            <v>CTCP Hoàng Anh Gia Lai</v>
          </cell>
          <cell r="F524" t="str">
            <v>Trồng trọt</v>
          </cell>
          <cell r="G524" t="str">
            <v>HOSE</v>
          </cell>
          <cell r="H524">
            <v>927467947</v>
          </cell>
        </row>
        <row r="525">
          <cell r="D525" t="str">
            <v>HAH</v>
          </cell>
          <cell r="E525" t="str">
            <v>CTCP Vận tải và Xếp dỡ Hải An</v>
          </cell>
          <cell r="F525" t="str">
            <v>Hỗ trợ vận tải</v>
          </cell>
          <cell r="G525" t="str">
            <v>HOSE</v>
          </cell>
          <cell r="H525">
            <v>48782751</v>
          </cell>
        </row>
        <row r="526">
          <cell r="D526" t="str">
            <v>HAI</v>
          </cell>
          <cell r="E526" t="str">
            <v>CTCP Nông dược H.A.I</v>
          </cell>
          <cell r="F526" t="str">
            <v>Bán buôn hàng tiêu dùng</v>
          </cell>
          <cell r="G526" t="str">
            <v>HOSE</v>
          </cell>
          <cell r="H526"/>
        </row>
        <row r="527">
          <cell r="D527" t="str">
            <v>HAM</v>
          </cell>
          <cell r="E527" t="str">
            <v>CTCP Vật tư Hậu Giang</v>
          </cell>
          <cell r="F527" t="str">
            <v>Chợ, đại lý và môi giới bán buôn điện tử</v>
          </cell>
          <cell r="G527" t="str">
            <v>UPCoM</v>
          </cell>
          <cell r="H527">
            <v>6225399</v>
          </cell>
        </row>
        <row r="528">
          <cell r="D528" t="str">
            <v>HAN</v>
          </cell>
          <cell r="E528" t="str">
            <v>Tổng Công ty Xây dựng Hà Nội - CTCP</v>
          </cell>
          <cell r="F528" t="str">
            <v>Xây dựng nhà cửa, cao ốc</v>
          </cell>
          <cell r="G528" t="str">
            <v>UPCoM</v>
          </cell>
          <cell r="H528">
            <v>141048000</v>
          </cell>
        </row>
        <row r="529">
          <cell r="D529" t="str">
            <v>HAP</v>
          </cell>
          <cell r="E529" t="str">
            <v>CTCP Tập đoàn Hapaco</v>
          </cell>
          <cell r="F529" t="str">
            <v>Sản xuất giấy</v>
          </cell>
          <cell r="G529" t="str">
            <v>HNX</v>
          </cell>
          <cell r="H529">
            <v>55626621</v>
          </cell>
        </row>
        <row r="530">
          <cell r="D530" t="str">
            <v>HAR</v>
          </cell>
          <cell r="E530" t="str">
            <v>CTCP Đầu tư Thương mại Bất động sản An Dương Thảo Điền</v>
          </cell>
          <cell r="F530" t="str">
            <v>Bất động sản</v>
          </cell>
          <cell r="G530" t="str">
            <v>HOSE</v>
          </cell>
          <cell r="H530">
            <v>101350100</v>
          </cell>
        </row>
        <row r="531">
          <cell r="D531" t="str">
            <v>HAS</v>
          </cell>
          <cell r="E531" t="str">
            <v>CTCP Hacisco</v>
          </cell>
          <cell r="F531" t="str">
            <v>Xây dựng công nghiệp nặng và dân dụng</v>
          </cell>
          <cell r="G531" t="str">
            <v>HOSE</v>
          </cell>
          <cell r="H531">
            <v>8000000</v>
          </cell>
        </row>
        <row r="532">
          <cell r="D532" t="str">
            <v>HAT</v>
          </cell>
          <cell r="E532" t="str">
            <v>CTCP Thương mại Bia Hà Nội</v>
          </cell>
          <cell r="F532" t="str">
            <v>Bán buôn hàng tiêu dùng</v>
          </cell>
          <cell r="G532" t="str">
            <v>HNX</v>
          </cell>
          <cell r="H532">
            <v>3123000</v>
          </cell>
        </row>
        <row r="533">
          <cell r="D533" t="str">
            <v>HAV</v>
          </cell>
          <cell r="E533" t="str">
            <v>CTCP Rượu Hapro</v>
          </cell>
          <cell r="F533" t="str">
            <v>Sản xuất đồ uống và thuốc lá</v>
          </cell>
          <cell r="G533" t="str">
            <v>UPCoM</v>
          </cell>
          <cell r="H533">
            <v>3297860</v>
          </cell>
        </row>
        <row r="534">
          <cell r="D534" t="str">
            <v>HAW</v>
          </cell>
          <cell r="E534" t="str">
            <v>Trung tâm Nước sạch và Vệ sinh môi trường nông thôn</v>
          </cell>
          <cell r="F534" t="str">
            <v>Quản lý các chương trình nhà ở, quy hoạch đô thị và phát triển cộng đồng</v>
          </cell>
          <cell r="G534" t="str">
            <v>UPCoM</v>
          </cell>
          <cell r="H534">
            <v>61500</v>
          </cell>
        </row>
        <row r="535">
          <cell r="D535" t="str">
            <v>HAX</v>
          </cell>
          <cell r="E535" t="str">
            <v>CTCP Dịch vụ Ô tô Hàng Xanh</v>
          </cell>
          <cell r="F535" t="str">
            <v>Bán lẻ xe hơi và phụ tùng</v>
          </cell>
          <cell r="G535" t="str">
            <v>HOSE</v>
          </cell>
          <cell r="H535">
            <v>47766982</v>
          </cell>
        </row>
        <row r="536">
          <cell r="D536" t="str">
            <v>HBC</v>
          </cell>
          <cell r="E536" t="str">
            <v>CTCP Tập đoàn Xây dựng Hòa Bình</v>
          </cell>
          <cell r="F536" t="str">
            <v>Xây dựng nhà cửa, cao ốc</v>
          </cell>
          <cell r="G536" t="str">
            <v>HOSE</v>
          </cell>
          <cell r="H536">
            <v>230875398</v>
          </cell>
        </row>
        <row r="537">
          <cell r="D537" t="str">
            <v>HBD</v>
          </cell>
          <cell r="E537" t="str">
            <v>CTCP Bao Bì PP Bình Dương</v>
          </cell>
          <cell r="F537" t="str">
            <v>Sản xuất giấy</v>
          </cell>
          <cell r="G537" t="str">
            <v>UPCoM</v>
          </cell>
          <cell r="H537">
            <v>2011100</v>
          </cell>
        </row>
        <row r="538">
          <cell r="D538" t="str">
            <v>HBH</v>
          </cell>
          <cell r="E538" t="str">
            <v>CTCP Habeco - Hải Phòng</v>
          </cell>
          <cell r="F538" t="str">
            <v>Sản xuất đồ uống và thuốc lá</v>
          </cell>
          <cell r="G538" t="str">
            <v>UPCoM</v>
          </cell>
          <cell r="H538">
            <v>16000000</v>
          </cell>
        </row>
        <row r="539">
          <cell r="D539" t="str">
            <v>HBS</v>
          </cell>
          <cell r="E539" t="str">
            <v>CTCP Chứng khoán Hòa Bình</v>
          </cell>
          <cell r="F539" t="str">
            <v>Môi giới chứng khoán, hàng hóa, đầu tư tài chính khác và các hoạt động liên quan</v>
          </cell>
          <cell r="G539" t="str">
            <v>HNX</v>
          </cell>
          <cell r="H539">
            <v>32999980</v>
          </cell>
        </row>
        <row r="540">
          <cell r="D540" t="str">
            <v>HC1</v>
          </cell>
          <cell r="E540" t="str">
            <v>CTCP Xây dựng Số 1 Hà Nội</v>
          </cell>
          <cell r="F540" t="str">
            <v>Xây dựng nhà cửa, cao ốc</v>
          </cell>
          <cell r="G540" t="str">
            <v>UPCoM</v>
          </cell>
          <cell r="H540">
            <v>8000000</v>
          </cell>
        </row>
        <row r="541">
          <cell r="D541" t="str">
            <v>HC3</v>
          </cell>
          <cell r="E541" t="str">
            <v>CTCP Xây dựng Số 3 Hải Phòng</v>
          </cell>
          <cell r="F541" t="str">
            <v>Bất động sản</v>
          </cell>
          <cell r="G541" t="str">
            <v>UPCoM</v>
          </cell>
          <cell r="H541">
            <v>20685717</v>
          </cell>
        </row>
        <row r="542">
          <cell r="D542" t="str">
            <v>HCB</v>
          </cell>
          <cell r="E542" t="str">
            <v>CTCP Dệt may 29/3</v>
          </cell>
          <cell r="F542" t="str">
            <v>Sản xuất các sản phẩm may mặc</v>
          </cell>
          <cell r="G542" t="str">
            <v>UPCoM</v>
          </cell>
          <cell r="H542">
            <v>5199274</v>
          </cell>
        </row>
        <row r="543">
          <cell r="D543" t="str">
            <v>HCC</v>
          </cell>
          <cell r="E543" t="str">
            <v>CTCP Bê tông Hòa Cầm - Intimex</v>
          </cell>
          <cell r="F543" t="str">
            <v>Sản xuất sản phẩm khoáng chất phi kim</v>
          </cell>
          <cell r="G543" t="str">
            <v>HNX</v>
          </cell>
          <cell r="H543">
            <v>6518586</v>
          </cell>
        </row>
        <row r="544">
          <cell r="D544" t="str">
            <v>HCD</v>
          </cell>
          <cell r="E544" t="str">
            <v>CTCP Đầu tư Sản xuất và Thương mại HCD</v>
          </cell>
          <cell r="F544" t="str">
            <v>Sản xuất các sản phẩm nhựa và cao su</v>
          </cell>
          <cell r="G544" t="str">
            <v>HOSE</v>
          </cell>
          <cell r="H544">
            <v>27000000</v>
          </cell>
        </row>
        <row r="545">
          <cell r="D545" t="str">
            <v>HCI</v>
          </cell>
          <cell r="E545" t="str">
            <v>CTCP Đầu tư Xây dựng Hà Nội</v>
          </cell>
          <cell r="F545" t="str">
            <v>Phát triển bất động sản</v>
          </cell>
          <cell r="G545" t="str">
            <v>UPCoM</v>
          </cell>
          <cell r="H545">
            <v>5232000</v>
          </cell>
        </row>
        <row r="546">
          <cell r="D546" t="str">
            <v>HCM</v>
          </cell>
          <cell r="E546" t="str">
            <v>CTCP Chứng khoán Thành phố Hồ Chí Minh</v>
          </cell>
          <cell r="F546" t="str">
            <v>Môi giới chứng khoán, hàng hóa, đầu tư tài chính khác và các hoạt động liên quan</v>
          </cell>
          <cell r="G546" t="str">
            <v>HOSE</v>
          </cell>
          <cell r="H546"/>
        </row>
        <row r="547">
          <cell r="D547" t="str">
            <v>HCT</v>
          </cell>
          <cell r="E547" t="str">
            <v>CTCP Thương mại Dịch vụ Vận tải Xi măng Hải Phòng</v>
          </cell>
          <cell r="F547" t="str">
            <v>Vận tải đường bộ</v>
          </cell>
          <cell r="G547" t="str">
            <v>HNX</v>
          </cell>
          <cell r="H547">
            <v>2016385</v>
          </cell>
        </row>
        <row r="548">
          <cell r="D548" t="str">
            <v>HD2</v>
          </cell>
          <cell r="E548" t="str">
            <v>CTCP Đầu tư Phát triển Nhà HUD2</v>
          </cell>
          <cell r="F548" t="str">
            <v>Phát triển bất động sản</v>
          </cell>
          <cell r="G548" t="str">
            <v>UPCoM</v>
          </cell>
          <cell r="H548">
            <v>8962353</v>
          </cell>
        </row>
        <row r="549">
          <cell r="D549" t="str">
            <v>HD6</v>
          </cell>
          <cell r="E549" t="str">
            <v>CTCP Đầu tư và Phát triển Nhà Số 6 Hà Nội</v>
          </cell>
          <cell r="F549" t="str">
            <v>Bất động sản</v>
          </cell>
          <cell r="G549" t="str">
            <v>UPCoM</v>
          </cell>
          <cell r="H549">
            <v>14400000</v>
          </cell>
        </row>
        <row r="550">
          <cell r="D550" t="str">
            <v>HD8</v>
          </cell>
          <cell r="E550" t="str">
            <v>CTCP Đầu tư Phát triển Nhà và Đô thị HUD8</v>
          </cell>
          <cell r="F550" t="str">
            <v>Phát triển bất động sản</v>
          </cell>
          <cell r="G550" t="str">
            <v>UPCoM</v>
          </cell>
          <cell r="H550">
            <v>10000000</v>
          </cell>
        </row>
        <row r="551">
          <cell r="D551" t="str">
            <v>HDA</v>
          </cell>
          <cell r="E551" t="str">
            <v>CTCP Hãng sơn Đông Á</v>
          </cell>
          <cell r="F551" t="str">
            <v>Sản xuất hóa chất, dược phẩm</v>
          </cell>
          <cell r="G551" t="str">
            <v>HNX</v>
          </cell>
          <cell r="H551">
            <v>11500000</v>
          </cell>
        </row>
        <row r="552">
          <cell r="D552" t="str">
            <v>HDB</v>
          </cell>
          <cell r="E552" t="str">
            <v>Ngân hàng TMCP Phát triển TPHCM</v>
          </cell>
          <cell r="F552" t="str">
            <v>Trung gian tín dụng và các hoạt động liên quan</v>
          </cell>
          <cell r="G552" t="str">
            <v>HOSE</v>
          </cell>
          <cell r="H552">
            <v>1608848818</v>
          </cell>
        </row>
        <row r="553">
          <cell r="D553" t="str">
            <v>HDC</v>
          </cell>
          <cell r="E553" t="str">
            <v>CTCP Phát triển Nhà Bà Rịa - Vũng Tàu</v>
          </cell>
          <cell r="F553" t="str">
            <v>Phát triển bất động sản</v>
          </cell>
          <cell r="G553" t="str">
            <v>HOSE</v>
          </cell>
          <cell r="H553">
            <v>83143874</v>
          </cell>
        </row>
        <row r="554">
          <cell r="D554" t="str">
            <v>HDG</v>
          </cell>
          <cell r="E554" t="str">
            <v>CTCP Tập đoàn Hà Đô</v>
          </cell>
          <cell r="F554" t="str">
            <v>Phát triển bất động sản</v>
          </cell>
          <cell r="G554" t="str">
            <v>HOSE</v>
          </cell>
          <cell r="H554">
            <v>154275018</v>
          </cell>
        </row>
        <row r="555">
          <cell r="D555" t="str">
            <v>HDM</v>
          </cell>
          <cell r="E555" t="str">
            <v>CTCP Dệt may Huế</v>
          </cell>
          <cell r="F555" t="str">
            <v>Sản xuất các sản phẩm may mặc</v>
          </cell>
          <cell r="G555" t="str">
            <v>UPCoM</v>
          </cell>
          <cell r="H555">
            <v>10000000</v>
          </cell>
        </row>
        <row r="556">
          <cell r="D556" t="str">
            <v>HDO</v>
          </cell>
          <cell r="E556" t="str">
            <v>CTCP Hưng Đạo Container</v>
          </cell>
          <cell r="F556" t="str">
            <v>Thuê và cho thuê máy móc, thiết bị thương mại và công nghiệp</v>
          </cell>
          <cell r="G556" t="str">
            <v>UPCoM</v>
          </cell>
          <cell r="H556">
            <v>16959879</v>
          </cell>
        </row>
        <row r="557">
          <cell r="D557" t="str">
            <v>HDP</v>
          </cell>
          <cell r="E557" t="str">
            <v>CTCP Dược Hà Tĩnh</v>
          </cell>
          <cell r="F557" t="str">
            <v>Sản xuất hóa chất, dược phẩm</v>
          </cell>
          <cell r="G557" t="str">
            <v>UPCoM</v>
          </cell>
          <cell r="H557">
            <v>9011418</v>
          </cell>
        </row>
        <row r="558">
          <cell r="D558" t="str">
            <v>HDW</v>
          </cell>
          <cell r="E558" t="str">
            <v>CTCP Kinh doanh Nước sạch Hải Dương</v>
          </cell>
          <cell r="F558" t="str">
            <v>Nước, chất thải và các hệ thống khác</v>
          </cell>
          <cell r="G558" t="str">
            <v>UPCoM</v>
          </cell>
          <cell r="H558">
            <v>31882470</v>
          </cell>
        </row>
        <row r="559">
          <cell r="D559" t="str">
            <v>HEC</v>
          </cell>
          <cell r="E559" t="str">
            <v>CTCP Tư vấn Xây dựng Thủy Lợi II</v>
          </cell>
          <cell r="F559" t="str">
            <v>Xây dựng nhà cửa, cao ốc</v>
          </cell>
          <cell r="G559" t="str">
            <v>UPCoM</v>
          </cell>
          <cell r="H559">
            <v>4200000</v>
          </cell>
        </row>
        <row r="560">
          <cell r="D560" t="str">
            <v>HEJ</v>
          </cell>
          <cell r="E560" t="str">
            <v>Tổng Công ty Tư vấn Xây dựng Thủy lợi Việt Nam - CTCP</v>
          </cell>
          <cell r="F560" t="str">
            <v>Kiến trúc, tư vấn xây dựng và dịch vụ liên quan</v>
          </cell>
          <cell r="G560" t="str">
            <v>UPCoM</v>
          </cell>
          <cell r="H560">
            <v>4400000</v>
          </cell>
        </row>
        <row r="561">
          <cell r="D561" t="str">
            <v>HEM</v>
          </cell>
          <cell r="E561" t="str">
            <v>CTCP Chế tạo Điện Cơ Hà Nội</v>
          </cell>
          <cell r="F561" t="str">
            <v>Sản xuất thiết bị, máy móc</v>
          </cell>
          <cell r="G561" t="str">
            <v>UPCoM</v>
          </cell>
          <cell r="H561">
            <v>38704650</v>
          </cell>
        </row>
        <row r="562">
          <cell r="D562" t="str">
            <v>HEP</v>
          </cell>
          <cell r="E562" t="str">
            <v>CTCP Môi trường và Công trình Đô thị Huế</v>
          </cell>
          <cell r="F562" t="str">
            <v>Nước, chất thải và các hệ thống khác</v>
          </cell>
          <cell r="G562" t="str">
            <v>UPCoM</v>
          </cell>
          <cell r="H562">
            <v>6000000</v>
          </cell>
        </row>
        <row r="563">
          <cell r="D563" t="str">
            <v>HES</v>
          </cell>
          <cell r="E563" t="str">
            <v>CTCP Dịch vụ Giải trí Hà Nội</v>
          </cell>
          <cell r="F563" t="str">
            <v>Công nghiệp giải trí, đánh bạc và tiêu khiển</v>
          </cell>
          <cell r="G563" t="str">
            <v>UPCoM</v>
          </cell>
          <cell r="H563">
            <v>9297450</v>
          </cell>
        </row>
        <row r="564">
          <cell r="D564" t="str">
            <v>HEV</v>
          </cell>
          <cell r="E564" t="str">
            <v>CTCP Sách Đại học Dạy nghề</v>
          </cell>
          <cell r="F564" t="str">
            <v>Công nghiệp xuất bản - Ngoại trừ internet</v>
          </cell>
          <cell r="G564" t="str">
            <v>HNX</v>
          </cell>
          <cell r="H564">
            <v>1000000</v>
          </cell>
        </row>
        <row r="565">
          <cell r="D565" t="str">
            <v>HFB</v>
          </cell>
          <cell r="E565" t="str">
            <v>CTCP Công trình Cầu phà Thành phố Hồ Chí Minh</v>
          </cell>
          <cell r="F565" t="str">
            <v>Xây dựng công nghiệp nặng và dân dụng</v>
          </cell>
          <cell r="G565" t="str">
            <v>UPCoM</v>
          </cell>
          <cell r="H565">
            <v>9100000</v>
          </cell>
        </row>
        <row r="566">
          <cell r="D566" t="str">
            <v>HFC</v>
          </cell>
          <cell r="E566" t="str">
            <v>CTCP Xăng dầu HFC</v>
          </cell>
          <cell r="F566" t="str">
            <v>Cửa hàng đồ nội thất và đồ dùng gia đình</v>
          </cell>
          <cell r="G566" t="str">
            <v>UPCoM</v>
          </cell>
          <cell r="H566"/>
        </row>
        <row r="567">
          <cell r="D567" t="str">
            <v>HFS</v>
          </cell>
          <cell r="E567" t="str">
            <v>CTCP Thương mại Dịch vụ Thời trang Hà Nội</v>
          </cell>
          <cell r="F567" t="str">
            <v>Sản xuất các sản phẩm may mặc</v>
          </cell>
          <cell r="G567" t="str">
            <v>UPCoM</v>
          </cell>
          <cell r="H567">
            <v>10000000</v>
          </cell>
        </row>
        <row r="568">
          <cell r="D568" t="str">
            <v>HFX</v>
          </cell>
          <cell r="E568" t="str">
            <v>CTCP Sản xuất - Xuất nhập khẩu Thanh Hà</v>
          </cell>
          <cell r="F568" t="str">
            <v>Bán buôn hàng tiêu dùng</v>
          </cell>
          <cell r="G568" t="str">
            <v>UPCoM</v>
          </cell>
          <cell r="H568">
            <v>1270000</v>
          </cell>
        </row>
        <row r="569">
          <cell r="D569" t="str">
            <v>HGA</v>
          </cell>
          <cell r="E569" t="str">
            <v>Trung tâm Giống Nông nghiệp tỉnh Hậu Giang</v>
          </cell>
          <cell r="F569" t="str">
            <v>Hoạt động hỗ trợ cho nông lâm nghiệp</v>
          </cell>
          <cell r="G569" t="str">
            <v>UPCoM</v>
          </cell>
          <cell r="H569">
            <v>778181</v>
          </cell>
        </row>
        <row r="570">
          <cell r="D570" t="str">
            <v>HGC</v>
          </cell>
          <cell r="E570" t="str">
            <v>Trung tâm Quy hoạch - Kiến trúc tỉnh Hậu Giang</v>
          </cell>
          <cell r="F570" t="str">
            <v>Kiến trúc, tư vấn xây dựng và dịch vụ liên quan</v>
          </cell>
          <cell r="G570" t="str">
            <v>UPCoM</v>
          </cell>
          <cell r="H570">
            <v>55000</v>
          </cell>
        </row>
        <row r="571">
          <cell r="D571" t="str">
            <v>HGM</v>
          </cell>
          <cell r="E571" t="str">
            <v>CTCP Cơ khí và Khoáng sản Hà Giang</v>
          </cell>
          <cell r="F571" t="str">
            <v>Khai khoáng (ngoại trừ dầu mỏ và khí đốt)</v>
          </cell>
          <cell r="G571" t="str">
            <v>HNX</v>
          </cell>
          <cell r="H571">
            <v>12600000</v>
          </cell>
        </row>
        <row r="572">
          <cell r="D572" t="str">
            <v>HGR</v>
          </cell>
          <cell r="E572" t="str">
            <v>CTCP Tài nguyên và Môi trường Hậu Giang</v>
          </cell>
          <cell r="F572" t="str">
            <v>Quản lý các chương trình nhà ở, quy hoạch đô thị và phát triển cộng đồng</v>
          </cell>
          <cell r="G572" t="str">
            <v>UPCoM</v>
          </cell>
          <cell r="H572">
            <v>10000</v>
          </cell>
        </row>
        <row r="573">
          <cell r="D573" t="str">
            <v>HGT</v>
          </cell>
          <cell r="E573" t="str">
            <v>CTCP Du lịch Hương Giang</v>
          </cell>
          <cell r="F573" t="str">
            <v>Khách sạn và phòng ở</v>
          </cell>
          <cell r="G573" t="str">
            <v>UPCoM</v>
          </cell>
          <cell r="H573">
            <v>20000000</v>
          </cell>
        </row>
        <row r="574">
          <cell r="D574" t="str">
            <v>HGW</v>
          </cell>
          <cell r="E574" t="str">
            <v>CTCP Cấp thoát nước - Công trình Đô thị Hậu Giang</v>
          </cell>
          <cell r="F574" t="str">
            <v>Nước, chất thải và các hệ thống khác</v>
          </cell>
          <cell r="G574" t="str">
            <v>UPCoM</v>
          </cell>
          <cell r="H574">
            <v>24878291</v>
          </cell>
        </row>
        <row r="575">
          <cell r="D575" t="str">
            <v>HHC</v>
          </cell>
          <cell r="E575" t="str">
            <v>CTCP Bánh kẹo Hải Hà</v>
          </cell>
          <cell r="F575" t="str">
            <v>Sản xuất thực phẩm</v>
          </cell>
          <cell r="G575" t="str">
            <v>HNX</v>
          </cell>
          <cell r="H575">
            <v>16425000</v>
          </cell>
        </row>
        <row r="576">
          <cell r="D576" t="str">
            <v>HHG</v>
          </cell>
          <cell r="E576" t="str">
            <v>CTCP Hoàng Hà</v>
          </cell>
          <cell r="F576" t="str">
            <v>Vận tải đường bộ</v>
          </cell>
          <cell r="G576" t="str">
            <v>HNX</v>
          </cell>
          <cell r="H576">
            <v>34896354</v>
          </cell>
        </row>
        <row r="577">
          <cell r="D577" t="str">
            <v>HHN</v>
          </cell>
          <cell r="E577" t="str">
            <v>CTCP Vận tải và Dịch vụ Hàng hóa Hà Nội</v>
          </cell>
          <cell r="F577" t="str">
            <v>Hỗ trợ vận tải</v>
          </cell>
          <cell r="G577" t="str">
            <v>UPCoM</v>
          </cell>
          <cell r="H577">
            <v>1440000</v>
          </cell>
        </row>
        <row r="578">
          <cell r="D578" t="str">
            <v>HHP</v>
          </cell>
          <cell r="E578" t="str">
            <v>CTCP Giấy Hoàng Hà Hải Phòng</v>
          </cell>
          <cell r="F578" t="str">
            <v>Sản xuất giấy</v>
          </cell>
          <cell r="G578" t="str">
            <v>HOSE</v>
          </cell>
          <cell r="H578">
            <v>20069824</v>
          </cell>
        </row>
        <row r="579">
          <cell r="D579" t="str">
            <v>HHR</v>
          </cell>
          <cell r="E579" t="str">
            <v>CTCP Đường sắt Hà Hải</v>
          </cell>
          <cell r="F579" t="str">
            <v>Xây dựng công nghiệp nặng và dân dụng</v>
          </cell>
          <cell r="G579" t="str">
            <v>UPCoM</v>
          </cell>
          <cell r="H579">
            <v>1380000</v>
          </cell>
        </row>
        <row r="580">
          <cell r="D580" t="str">
            <v>HHS</v>
          </cell>
          <cell r="E580" t="str">
            <v>CTCP Đầu tư Dịch vụ Hoàng Huy</v>
          </cell>
          <cell r="F580" t="str">
            <v>Bán buôn hàng lâu bền</v>
          </cell>
          <cell r="G580" t="str">
            <v>HOSE</v>
          </cell>
          <cell r="H580">
            <v>274744063</v>
          </cell>
        </row>
        <row r="581">
          <cell r="D581" t="str">
            <v>HHV</v>
          </cell>
          <cell r="E581" t="str">
            <v>CTCP Đầu tư Hạ tầng Giao thông Đèo Cả</v>
          </cell>
          <cell r="F581" t="str">
            <v>Xây dựng công nghiệp nặng và dân dụng</v>
          </cell>
          <cell r="G581" t="str">
            <v>UPCoM</v>
          </cell>
          <cell r="H581">
            <v>267384090</v>
          </cell>
        </row>
        <row r="582">
          <cell r="D582" t="str">
            <v>HID</v>
          </cell>
          <cell r="E582" t="str">
            <v>CTCP Halcom Việt Nam</v>
          </cell>
          <cell r="F582" t="str">
            <v>Phát, truyền tải và phân phối điện năng</v>
          </cell>
          <cell r="G582" t="str">
            <v>HOSE</v>
          </cell>
          <cell r="H582">
            <v>58765032</v>
          </cell>
        </row>
        <row r="583">
          <cell r="D583" t="str">
            <v>HIG</v>
          </cell>
          <cell r="E583" t="str">
            <v>CTCP Tập đoàn HIPT</v>
          </cell>
          <cell r="F583" t="str">
            <v>Viễn thông</v>
          </cell>
          <cell r="G583" t="str">
            <v>UPCoM</v>
          </cell>
          <cell r="H583">
            <v>22559030</v>
          </cell>
        </row>
        <row r="584">
          <cell r="D584" t="str">
            <v>HII</v>
          </cell>
          <cell r="E584" t="str">
            <v>CTCP An Tiến Industries</v>
          </cell>
          <cell r="F584" t="str">
            <v>Sản xuất hóa chất, dược phẩm</v>
          </cell>
          <cell r="G584" t="str">
            <v>HOSE</v>
          </cell>
          <cell r="H584">
            <v>32027500</v>
          </cell>
        </row>
        <row r="585">
          <cell r="D585" t="str">
            <v>HIZ</v>
          </cell>
          <cell r="E585" t="str">
            <v>CTCP Khu Công nghiệp Hố Nai</v>
          </cell>
          <cell r="F585" t="str">
            <v>Bất động sản</v>
          </cell>
          <cell r="G585" t="str">
            <v>UPCoM</v>
          </cell>
          <cell r="H585">
            <v>7500000</v>
          </cell>
        </row>
        <row r="586">
          <cell r="D586" t="str">
            <v>HJC</v>
          </cell>
          <cell r="E586" t="str">
            <v>CTCP Hòa Việt</v>
          </cell>
          <cell r="F586" t="str">
            <v>Sản xuất đồ uống và thuốc lá</v>
          </cell>
          <cell r="G586" t="str">
            <v>UPCoM</v>
          </cell>
          <cell r="H586"/>
        </row>
        <row r="587">
          <cell r="D587" t="str">
            <v>HJS</v>
          </cell>
          <cell r="E587" t="str">
            <v>CTCP Thủy điện Nậm Mu</v>
          </cell>
          <cell r="F587" t="str">
            <v>Phát, truyền tải và phân phối điện năng</v>
          </cell>
          <cell r="G587" t="str">
            <v>HNX</v>
          </cell>
          <cell r="H587">
            <v>20999900</v>
          </cell>
        </row>
        <row r="588">
          <cell r="D588" t="str">
            <v>HKB</v>
          </cell>
          <cell r="E588" t="str">
            <v>CTCP Nông nghiệp và Thực phẩm Hà Nội - Kinh Bắc</v>
          </cell>
          <cell r="F588" t="str">
            <v>Bán buôn hàng tiêu dùng</v>
          </cell>
          <cell r="G588" t="str">
            <v>UPCoM</v>
          </cell>
          <cell r="H588">
            <v>51599999</v>
          </cell>
        </row>
        <row r="589">
          <cell r="D589" t="str">
            <v>HKC</v>
          </cell>
          <cell r="E589" t="str">
            <v>CTCP Dệt kim Hà Nội</v>
          </cell>
          <cell r="F589" t="str">
            <v>Sản xuất các sản phẩm may mặc</v>
          </cell>
          <cell r="G589" t="str">
            <v>UPCoM</v>
          </cell>
          <cell r="H589">
            <v>2400000</v>
          </cell>
        </row>
        <row r="590">
          <cell r="D590" t="str">
            <v>HKP</v>
          </cell>
          <cell r="E590" t="str">
            <v>CTCP Bao bì Hà Tiên</v>
          </cell>
          <cell r="F590" t="str">
            <v>Sản xuất giấy</v>
          </cell>
          <cell r="G590" t="str">
            <v>UPCoM</v>
          </cell>
          <cell r="H590">
            <v>4000000</v>
          </cell>
        </row>
        <row r="591">
          <cell r="D591" t="str">
            <v>HKT</v>
          </cell>
          <cell r="E591" t="str">
            <v>CTCP Đầu tư Ego Việt Nam</v>
          </cell>
          <cell r="F591" t="str">
            <v>Trồng trọt</v>
          </cell>
          <cell r="G591" t="str">
            <v>HNX</v>
          </cell>
          <cell r="H591">
            <v>6135029</v>
          </cell>
        </row>
        <row r="592">
          <cell r="D592" t="str">
            <v>HLA</v>
          </cell>
          <cell r="E592" t="str">
            <v>CTCP Hữu Liên Á Châu</v>
          </cell>
          <cell r="F592" t="str">
            <v>Sản xuất các sản phẩm kim loại cơ bản</v>
          </cell>
          <cell r="G592" t="str">
            <v>UPCoM</v>
          </cell>
          <cell r="H592">
            <v>34459293</v>
          </cell>
        </row>
        <row r="593">
          <cell r="D593" t="str">
            <v>HLB</v>
          </cell>
          <cell r="E593" t="str">
            <v>CTCP Bia và Nước giải khát Hạ Long</v>
          </cell>
          <cell r="F593" t="str">
            <v>Sản xuất đồ uống và thuốc lá</v>
          </cell>
          <cell r="G593" t="str">
            <v>UPCoM</v>
          </cell>
          <cell r="H593">
            <v>3000000</v>
          </cell>
        </row>
        <row r="594">
          <cell r="D594" t="str">
            <v>HLC</v>
          </cell>
          <cell r="E594" t="str">
            <v>CTCP Than Hà Lầm - Vinacomin</v>
          </cell>
          <cell r="F594" t="str">
            <v>Khai khoáng (ngoại trừ dầu mỏ và khí đốt)</v>
          </cell>
          <cell r="G594" t="str">
            <v>HNX</v>
          </cell>
          <cell r="H594">
            <v>25415199</v>
          </cell>
        </row>
        <row r="595">
          <cell r="D595" t="str">
            <v>HLD</v>
          </cell>
          <cell r="E595" t="str">
            <v>CTCP Đầu tư và Phát triển Bất động sản HUDLAND</v>
          </cell>
          <cell r="F595" t="str">
            <v>Phát triển bất động sản</v>
          </cell>
          <cell r="G595" t="str">
            <v>HNX</v>
          </cell>
          <cell r="H595">
            <v>20000000</v>
          </cell>
        </row>
        <row r="596">
          <cell r="D596" t="str">
            <v>HLE</v>
          </cell>
          <cell r="E596" t="str">
            <v>CTCP Điện Chiếu sáng Hải Phòng</v>
          </cell>
          <cell r="F596" t="str">
            <v>Xây dựng công nghiệp nặng và dân dụng</v>
          </cell>
          <cell r="G596" t="str">
            <v>UPCoM</v>
          </cell>
          <cell r="H596">
            <v>2200000</v>
          </cell>
        </row>
        <row r="597">
          <cell r="D597" t="str">
            <v>HLG</v>
          </cell>
          <cell r="E597" t="str">
            <v>CTCP Tập đoàn Hoàng Long</v>
          </cell>
          <cell r="F597" t="str">
            <v>Sản xuất thực phẩm</v>
          </cell>
          <cell r="G597" t="str">
            <v>UPCoM</v>
          </cell>
          <cell r="H597">
            <v>44375385</v>
          </cell>
        </row>
        <row r="598">
          <cell r="D598" t="str">
            <v>HLR</v>
          </cell>
          <cell r="E598" t="str">
            <v>CTCP Đường sắt Hà Lạng</v>
          </cell>
          <cell r="F598" t="str">
            <v>Hỗ trợ vận tải</v>
          </cell>
          <cell r="G598" t="str">
            <v>UPCoM</v>
          </cell>
          <cell r="H598">
            <v>1650000</v>
          </cell>
        </row>
        <row r="599">
          <cell r="D599" t="str">
            <v>HLS</v>
          </cell>
          <cell r="E599" t="str">
            <v>CTCP Sứ Kỹ thuật Hoàng Liên Sơn</v>
          </cell>
          <cell r="F599" t="str">
            <v>Sản xuất trang thiết bị, dụng cụ điện</v>
          </cell>
          <cell r="G599" t="str">
            <v>UPCoM</v>
          </cell>
          <cell r="H599">
            <v>9628634</v>
          </cell>
        </row>
        <row r="600">
          <cell r="D600" t="str">
            <v>HLT</v>
          </cell>
          <cell r="E600" t="str">
            <v>CTCP Dệt may Hoàng Thị Loan</v>
          </cell>
          <cell r="F600" t="str">
            <v>Sản xuất sợi, vải</v>
          </cell>
          <cell r="G600" t="str">
            <v>UPCoM</v>
          </cell>
          <cell r="H600">
            <v>3695784</v>
          </cell>
        </row>
        <row r="601">
          <cell r="D601" t="str">
            <v>HLY</v>
          </cell>
          <cell r="E601" t="str">
            <v>Công ty Cổ phần Viglacera Hạ Long I</v>
          </cell>
          <cell r="F601" t="str">
            <v>Sản xuất sản phẩm khoáng chất phi kim</v>
          </cell>
          <cell r="G601" t="str">
            <v>UPCoM</v>
          </cell>
          <cell r="H601">
            <v>1000000</v>
          </cell>
        </row>
        <row r="602">
          <cell r="D602" t="str">
            <v>HMC</v>
          </cell>
          <cell r="E602" t="str">
            <v>CTCP Kim khí Thành phố Hồ Chí Minh</v>
          </cell>
          <cell r="F602" t="str">
            <v>Bán buôn hàng lâu bền</v>
          </cell>
          <cell r="G602" t="str">
            <v>HOSE</v>
          </cell>
          <cell r="H602">
            <v>21000000</v>
          </cell>
        </row>
        <row r="603">
          <cell r="D603" t="str">
            <v>HMG</v>
          </cell>
          <cell r="E603" t="str">
            <v>CTCP Kim khí Hà Nội - VNSTEEL</v>
          </cell>
          <cell r="F603" t="str">
            <v>Kinh doanh vật liệu xây dựng, trang thiết bị làm vườn</v>
          </cell>
          <cell r="G603" t="str">
            <v>UPCoM</v>
          </cell>
          <cell r="H603">
            <v>9000000</v>
          </cell>
        </row>
        <row r="604">
          <cell r="D604" t="str">
            <v>HMH</v>
          </cell>
          <cell r="E604" t="str">
            <v>CTCP Hải Minh</v>
          </cell>
          <cell r="F604" t="str">
            <v>Hỗ trợ vận tải</v>
          </cell>
          <cell r="G604" t="str">
            <v>HNX</v>
          </cell>
          <cell r="H604">
            <v>13199847</v>
          </cell>
        </row>
        <row r="605">
          <cell r="D605" t="str">
            <v>HMS</v>
          </cell>
          <cell r="E605" t="str">
            <v>CTCP Xây dựng Bảo tàng Hồ Chí Minh</v>
          </cell>
          <cell r="F605" t="str">
            <v>Xây dựng nhà cửa, cao ốc</v>
          </cell>
          <cell r="G605" t="str">
            <v>UPCoM</v>
          </cell>
          <cell r="H605">
            <v>8000000</v>
          </cell>
        </row>
        <row r="606">
          <cell r="D606" t="str">
            <v>HNA</v>
          </cell>
          <cell r="E606" t="str">
            <v>CTCP Thủy điện Hủa Na</v>
          </cell>
          <cell r="F606" t="str">
            <v>Phát, truyền tải và phân phối điện năng</v>
          </cell>
          <cell r="G606" t="str">
            <v>UPCoM</v>
          </cell>
          <cell r="H606"/>
        </row>
        <row r="607">
          <cell r="D607" t="str">
            <v>HNB</v>
          </cell>
          <cell r="E607" t="str">
            <v>CTCP Bến xe Hà Nội</v>
          </cell>
          <cell r="F607" t="str">
            <v>Hỗ trợ vận tải</v>
          </cell>
          <cell r="G607" t="str">
            <v>UPCoM</v>
          </cell>
          <cell r="H607">
            <v>9500000</v>
          </cell>
        </row>
        <row r="608">
          <cell r="D608" t="str">
            <v>HND</v>
          </cell>
          <cell r="E608" t="str">
            <v>CTCP Nhiệt điện Hải Phòng</v>
          </cell>
          <cell r="F608" t="str">
            <v>Phát, truyền tải và phân phối điện năng</v>
          </cell>
          <cell r="G608" t="str">
            <v>UPCoM</v>
          </cell>
          <cell r="H608">
            <v>500000000</v>
          </cell>
        </row>
        <row r="609">
          <cell r="D609" t="str">
            <v>HNE</v>
          </cell>
          <cell r="E609" t="str">
            <v>CTCP Hanel</v>
          </cell>
          <cell r="F609" t="str">
            <v>Bán buôn hàng lâu bền</v>
          </cell>
          <cell r="G609" t="str">
            <v>UPCoM</v>
          </cell>
          <cell r="H609">
            <v>192600000</v>
          </cell>
        </row>
        <row r="610">
          <cell r="D610" t="str">
            <v>HNF</v>
          </cell>
          <cell r="E610" t="str">
            <v>CTCP Thực phẩm Hữu Nghị</v>
          </cell>
          <cell r="F610" t="str">
            <v>Sản xuất thực phẩm</v>
          </cell>
          <cell r="G610" t="str">
            <v>UPCoM</v>
          </cell>
          <cell r="H610">
            <v>30000000</v>
          </cell>
        </row>
        <row r="611">
          <cell r="D611" t="str">
            <v>HNG</v>
          </cell>
          <cell r="E611" t="str">
            <v>CTCP Nông nghiệp Quốc tế Hoàng Anh Gia Lai</v>
          </cell>
          <cell r="F611" t="str">
            <v>Trồng trọt</v>
          </cell>
          <cell r="G611" t="str">
            <v>HOSE</v>
          </cell>
          <cell r="H611">
            <v>1108553895</v>
          </cell>
        </row>
        <row r="612">
          <cell r="D612" t="str">
            <v>HNI</v>
          </cell>
          <cell r="E612" t="str">
            <v>CTCP May Hữu Nghị</v>
          </cell>
          <cell r="F612" t="str">
            <v>Sản xuất các sản phẩm may mặc</v>
          </cell>
          <cell r="G612" t="str">
            <v>UPCoM</v>
          </cell>
          <cell r="H612">
            <v>11890000</v>
          </cell>
        </row>
        <row r="613">
          <cell r="D613" t="str">
            <v>HNM</v>
          </cell>
          <cell r="E613" t="str">
            <v>CTCP Sữa Hà Nội</v>
          </cell>
          <cell r="F613" t="str">
            <v>Sản xuất thực phẩm</v>
          </cell>
          <cell r="G613" t="str">
            <v>UPCoM</v>
          </cell>
          <cell r="H613">
            <v>20000000</v>
          </cell>
        </row>
        <row r="614">
          <cell r="D614" t="str">
            <v>HNP</v>
          </cell>
          <cell r="E614" t="str">
            <v>CTCP Hanel Xốp nhựa</v>
          </cell>
          <cell r="F614" t="str">
            <v>Sản xuất các sản phẩm nhựa và cao su</v>
          </cell>
          <cell r="G614" t="str">
            <v>UPCoM</v>
          </cell>
          <cell r="H614">
            <v>5000000</v>
          </cell>
        </row>
        <row r="615">
          <cell r="D615" t="str">
            <v>HNR</v>
          </cell>
          <cell r="E615" t="str">
            <v>CTCP Rượu và Nước giải khát Hà Nội</v>
          </cell>
          <cell r="F615" t="str">
            <v>Sản xuất đồ uống và thuốc lá</v>
          </cell>
          <cell r="G615" t="str">
            <v>UPCoM</v>
          </cell>
          <cell r="H615">
            <v>20000000</v>
          </cell>
        </row>
        <row r="616">
          <cell r="D616" t="str">
            <v>HNT</v>
          </cell>
          <cell r="E616" t="str">
            <v>CTCP Xe điện Hà Nội</v>
          </cell>
          <cell r="F616" t="str">
            <v>Vận tải trung chuyển và vận tải hành khách bằng đường bộ</v>
          </cell>
          <cell r="G616" t="str">
            <v>UPCoM</v>
          </cell>
          <cell r="H616">
            <v>5500000</v>
          </cell>
        </row>
        <row r="617">
          <cell r="D617" t="str">
            <v>HOM</v>
          </cell>
          <cell r="E617" t="str">
            <v>CTCP Xi măng VICEM Hoàng Mai</v>
          </cell>
          <cell r="F617" t="str">
            <v>Sản xuất sản phẩm khoáng chất phi kim</v>
          </cell>
          <cell r="G617" t="str">
            <v>HNX</v>
          </cell>
          <cell r="H617">
            <v>74769131</v>
          </cell>
        </row>
        <row r="618">
          <cell r="D618" t="str">
            <v>HOT</v>
          </cell>
          <cell r="E618" t="str">
            <v>CTCP Du lịch Dịch vụ Hội An</v>
          </cell>
          <cell r="F618" t="str">
            <v>Khách sạn và phòng ở</v>
          </cell>
          <cell r="G618" t="str">
            <v>HOSE</v>
          </cell>
          <cell r="H618">
            <v>8000000</v>
          </cell>
        </row>
        <row r="619">
          <cell r="D619" t="str">
            <v>HPB</v>
          </cell>
          <cell r="E619" t="str">
            <v>CTCP Bao bì PP</v>
          </cell>
          <cell r="F619" t="str">
            <v>Sản xuất giấy</v>
          </cell>
          <cell r="G619" t="str">
            <v>UPCoM</v>
          </cell>
          <cell r="H619">
            <v>3880000</v>
          </cell>
        </row>
        <row r="620">
          <cell r="D620" t="str">
            <v>HPD</v>
          </cell>
          <cell r="E620" t="str">
            <v>CTCP Thủy điện ĐăK Đoa</v>
          </cell>
          <cell r="F620" t="str">
            <v>Phát, truyền tải và phân phối điện năng</v>
          </cell>
          <cell r="G620" t="str">
            <v>UPCoM</v>
          </cell>
          <cell r="H620">
            <v>8306590</v>
          </cell>
        </row>
        <row r="621">
          <cell r="D621" t="str">
            <v>HPG</v>
          </cell>
          <cell r="E621" t="str">
            <v>CTCP Tập đoàn Hòa Phát</v>
          </cell>
          <cell r="F621" t="str">
            <v>Sản xuất các sản phẩm kim loại cơ bản</v>
          </cell>
          <cell r="G621" t="str">
            <v>HOSE</v>
          </cell>
          <cell r="H621">
            <v>4472922706</v>
          </cell>
        </row>
        <row r="622">
          <cell r="D622" t="str">
            <v>HPH</v>
          </cell>
          <cell r="E622" t="str">
            <v>CTCP Hóa Chất Hưng Phát Hà Bắc</v>
          </cell>
          <cell r="F622" t="str">
            <v>Sản xuất hóa chất, dược phẩm</v>
          </cell>
          <cell r="G622" t="str">
            <v>UPCoM</v>
          </cell>
          <cell r="H622">
            <v>8400000</v>
          </cell>
        </row>
        <row r="623">
          <cell r="D623" t="str">
            <v>HPI</v>
          </cell>
          <cell r="E623" t="str">
            <v>CTCP Khu công nghiệp Hiệp Phước</v>
          </cell>
          <cell r="F623" t="str">
            <v>Bất động sản</v>
          </cell>
          <cell r="G623" t="str">
            <v>UPCoM</v>
          </cell>
          <cell r="H623">
            <v>60000000</v>
          </cell>
        </row>
        <row r="624">
          <cell r="D624" t="str">
            <v>HPM</v>
          </cell>
          <cell r="E624" t="str">
            <v>CTCP Xây dựng Thương mại và Khoáng Sản Hoàng Phúc</v>
          </cell>
          <cell r="F624" t="str">
            <v>Khai khoáng (ngoại trừ dầu mỏ và khí đốt)</v>
          </cell>
          <cell r="G624" t="str">
            <v>HNX</v>
          </cell>
          <cell r="H624">
            <v>3800000</v>
          </cell>
        </row>
        <row r="625">
          <cell r="D625" t="str">
            <v>HPP</v>
          </cell>
          <cell r="E625" t="str">
            <v>CTCP Sơn Hải Phòng</v>
          </cell>
          <cell r="F625" t="str">
            <v>Sản xuất hóa chất, dược phẩm</v>
          </cell>
          <cell r="G625" t="str">
            <v>UPCoM</v>
          </cell>
          <cell r="H625">
            <v>8007177</v>
          </cell>
        </row>
        <row r="626">
          <cell r="D626" t="str">
            <v>HPT</v>
          </cell>
          <cell r="E626" t="str">
            <v>CTCP Dịch vụ Công nghệ Tin học HPT</v>
          </cell>
          <cell r="F626" t="str">
            <v>Thiết kế hệ thống máy tính và dịch vụ liên quan</v>
          </cell>
          <cell r="G626" t="str">
            <v>UPCoM</v>
          </cell>
          <cell r="H626"/>
        </row>
        <row r="627">
          <cell r="D627" t="str">
            <v>HPW</v>
          </cell>
          <cell r="E627" t="str">
            <v>CTCP Cấp nước Hải Phòng</v>
          </cell>
          <cell r="F627" t="str">
            <v>Nước, chất thải và các hệ thống khác</v>
          </cell>
          <cell r="G627" t="str">
            <v>UPCoM</v>
          </cell>
          <cell r="H627">
            <v>74206940</v>
          </cell>
        </row>
        <row r="628">
          <cell r="D628" t="str">
            <v>HPX</v>
          </cell>
          <cell r="E628" t="str">
            <v>CTCP Đầu tư Hải Phát</v>
          </cell>
          <cell r="F628" t="str">
            <v>Phát triển bất động sản</v>
          </cell>
          <cell r="G628" t="str">
            <v>HOSE</v>
          </cell>
          <cell r="H628">
            <v>264494582</v>
          </cell>
        </row>
        <row r="629">
          <cell r="D629" t="str">
            <v>HQC</v>
          </cell>
          <cell r="E629" t="str">
            <v>CTCP Tư vấn Thương mại Dịch vụ Địa Ốc Hoàng Quân</v>
          </cell>
          <cell r="F629" t="str">
            <v>Phát triển bất động sản</v>
          </cell>
          <cell r="G629" t="str">
            <v>HOSE</v>
          </cell>
          <cell r="H629">
            <v>476600000</v>
          </cell>
        </row>
        <row r="630">
          <cell r="D630" t="str">
            <v>HRB</v>
          </cell>
          <cell r="E630" t="str">
            <v>CTCP Harec Đầu tư và Thương mại</v>
          </cell>
          <cell r="F630" t="str">
            <v>Bất động sản</v>
          </cell>
          <cell r="G630" t="str">
            <v>UPCoM</v>
          </cell>
          <cell r="H630">
            <v>6338400</v>
          </cell>
        </row>
        <row r="631">
          <cell r="D631" t="str">
            <v>HRC</v>
          </cell>
          <cell r="E631" t="str">
            <v>CTCP Cao su Hòa Bình</v>
          </cell>
          <cell r="F631" t="str">
            <v>Sản xuất hóa chất, dược phẩm</v>
          </cell>
          <cell r="G631" t="str">
            <v>HOSE</v>
          </cell>
          <cell r="H631">
            <v>30206622</v>
          </cell>
        </row>
        <row r="632">
          <cell r="D632" t="str">
            <v>HRT</v>
          </cell>
          <cell r="E632" t="str">
            <v>CTCP Vận tải Đường sắt Hà Nội</v>
          </cell>
          <cell r="F632" t="str">
            <v>Vận tải đường sắt</v>
          </cell>
          <cell r="G632" t="str">
            <v>UPCoM</v>
          </cell>
          <cell r="H632">
            <v>80058970</v>
          </cell>
        </row>
        <row r="633">
          <cell r="D633" t="str">
            <v>HSA</v>
          </cell>
          <cell r="E633" t="str">
            <v>CTCP Hestia</v>
          </cell>
          <cell r="F633" t="str">
            <v>Môi giới chứng khoán, hàng hóa, đầu tư tài chính khác và các hoạt động liên quan</v>
          </cell>
          <cell r="G633" t="str">
            <v>UPCoM</v>
          </cell>
          <cell r="H633">
            <v>7872727</v>
          </cell>
        </row>
        <row r="634">
          <cell r="D634" t="str">
            <v>HSG</v>
          </cell>
          <cell r="E634" t="str">
            <v>CTCP Tập đoàn Hoa Sen</v>
          </cell>
          <cell r="F634" t="str">
            <v>Sản xuất các sản phẩm kim loại cơ bản</v>
          </cell>
          <cell r="G634" t="str">
            <v>HOSE</v>
          </cell>
          <cell r="H634">
            <v>489081896</v>
          </cell>
        </row>
        <row r="635">
          <cell r="D635" t="str">
            <v>HSI</v>
          </cell>
          <cell r="E635" t="str">
            <v>CTCP Vật tư Tổng hợp và Phân bón Hóa Sinh</v>
          </cell>
          <cell r="F635" t="str">
            <v>Sản xuất hóa chất, dược phẩm</v>
          </cell>
          <cell r="G635" t="str">
            <v>UPCoM</v>
          </cell>
          <cell r="H635">
            <v>10000000</v>
          </cell>
        </row>
        <row r="636">
          <cell r="D636" t="str">
            <v>HSL</v>
          </cell>
          <cell r="E636" t="str">
            <v>CTCP Đầu tư Phát triển Thực phẩm Hồng Hà</v>
          </cell>
          <cell r="F636" t="str">
            <v>Trồng trọt</v>
          </cell>
          <cell r="G636" t="str">
            <v>HOSE</v>
          </cell>
          <cell r="H636">
            <v>17167144</v>
          </cell>
        </row>
        <row r="637">
          <cell r="D637" t="str">
            <v>HSM</v>
          </cell>
          <cell r="E637" t="str">
            <v>Tổng Công ty cổ phần Dệt may Hà Nội</v>
          </cell>
          <cell r="F637" t="str">
            <v>Sản xuất các sản phẩm may mặc</v>
          </cell>
          <cell r="G637" t="str">
            <v>UPCoM</v>
          </cell>
          <cell r="H637">
            <v>20500000</v>
          </cell>
        </row>
        <row r="638">
          <cell r="D638" t="str">
            <v>HSP</v>
          </cell>
          <cell r="E638" t="str">
            <v>CTCP Sơn Tổng hợp Hà Nội</v>
          </cell>
          <cell r="F638" t="str">
            <v>Sản xuất hóa chất, dược phẩm</v>
          </cell>
          <cell r="G638" t="str">
            <v>UPCoM</v>
          </cell>
          <cell r="H638">
            <v>12027086</v>
          </cell>
        </row>
        <row r="639">
          <cell r="D639" t="str">
            <v>HSV</v>
          </cell>
          <cell r="E639" t="str">
            <v>CTCP Gang Thép Hà Nội</v>
          </cell>
          <cell r="F639" t="str">
            <v>Bán buôn hàng lâu bền</v>
          </cell>
          <cell r="G639" t="str">
            <v>UPCoM</v>
          </cell>
          <cell r="H639">
            <v>5000000</v>
          </cell>
        </row>
        <row r="640">
          <cell r="D640" t="str">
            <v>HT1</v>
          </cell>
          <cell r="E640" t="str">
            <v>CTCP Xi măng Hà Tiên 1</v>
          </cell>
          <cell r="F640" t="str">
            <v>Sản xuất sản phẩm khoáng chất phi kim</v>
          </cell>
          <cell r="G640" t="str">
            <v>HOSE</v>
          </cell>
          <cell r="H640">
            <v>381589911</v>
          </cell>
        </row>
        <row r="641">
          <cell r="D641" t="str">
            <v>HTC</v>
          </cell>
          <cell r="E641" t="str">
            <v>CTCP Thương mại Hóc Môn</v>
          </cell>
          <cell r="F641" t="str">
            <v>Trạm xăng</v>
          </cell>
          <cell r="G641" t="str">
            <v>HNX</v>
          </cell>
          <cell r="H641">
            <v>11000000</v>
          </cell>
        </row>
        <row r="642">
          <cell r="D642" t="str">
            <v>HTE</v>
          </cell>
          <cell r="E642" t="str">
            <v>CTCP Đầu tư Kinh doanh Điện lực Thành phố Hồ Chí Minh</v>
          </cell>
          <cell r="F642" t="str">
            <v>Xây dựng công nghiệp nặng và dân dụng</v>
          </cell>
          <cell r="G642" t="str">
            <v>UPCoM</v>
          </cell>
          <cell r="H642">
            <v>23608165</v>
          </cell>
        </row>
        <row r="643">
          <cell r="D643" t="str">
            <v>HTG</v>
          </cell>
          <cell r="E643" t="str">
            <v>Tổng Công ty cổ phần Dệt may Hòa Thọ</v>
          </cell>
          <cell r="F643" t="str">
            <v>Sản xuất sợi, vải</v>
          </cell>
          <cell r="G643" t="str">
            <v>UPCoM</v>
          </cell>
          <cell r="H643">
            <v>22500000</v>
          </cell>
        </row>
        <row r="644">
          <cell r="D644" t="str">
            <v>HTH</v>
          </cell>
          <cell r="E644" t="str">
            <v>Công ty TNHH 1TV Hoa tiêu Hàng hải - TKV</v>
          </cell>
          <cell r="F644" t="str">
            <v>Hỗ trợ vận tải</v>
          </cell>
          <cell r="G644" t="str">
            <v>UPCoM</v>
          </cell>
          <cell r="H644">
            <v>404400</v>
          </cell>
        </row>
        <row r="645">
          <cell r="D645" t="str">
            <v>HTI</v>
          </cell>
          <cell r="E645" t="str">
            <v>CTCP Đầu tư Phát triển Hạ tầng IDICO</v>
          </cell>
          <cell r="F645" t="str">
            <v>Xây dựng công nghiệp nặng và dân dụng</v>
          </cell>
          <cell r="G645" t="str">
            <v>HOSE</v>
          </cell>
          <cell r="H645">
            <v>24949200</v>
          </cell>
        </row>
        <row r="646">
          <cell r="D646" t="str">
            <v>HTK</v>
          </cell>
          <cell r="E646" t="str">
            <v>CTCP Đăng kiểm xe cơ giới Hải Dương</v>
          </cell>
          <cell r="F646" t="str">
            <v>Hỗ trợ vận tải</v>
          </cell>
          <cell r="G646" t="str">
            <v>UPCoM</v>
          </cell>
          <cell r="H646"/>
        </row>
        <row r="647">
          <cell r="D647" t="str">
            <v>HTL</v>
          </cell>
          <cell r="E647" t="str">
            <v>CTCP Kỹ thuật và Ôtô Trường Long</v>
          </cell>
          <cell r="F647" t="str">
            <v>Bán buôn hàng lâu bền</v>
          </cell>
          <cell r="G647" t="str">
            <v>HOSE</v>
          </cell>
          <cell r="H647">
            <v>12000000</v>
          </cell>
        </row>
        <row r="648">
          <cell r="D648" t="str">
            <v>HTM</v>
          </cell>
          <cell r="E648" t="str">
            <v>Tổng Công ty Thương mại Hà Nội - CTCP</v>
          </cell>
          <cell r="F648" t="str">
            <v>Bán buôn hàng tiêu dùng</v>
          </cell>
          <cell r="G648" t="str">
            <v>UPCoM</v>
          </cell>
          <cell r="H648">
            <v>220000000</v>
          </cell>
        </row>
        <row r="649">
          <cell r="D649" t="str">
            <v>HTN</v>
          </cell>
          <cell r="E649" t="str">
            <v>CTCP Hưng Thịnh Incons</v>
          </cell>
          <cell r="F649" t="str">
            <v>Nhà thầu chuyên môn</v>
          </cell>
          <cell r="G649" t="str">
            <v>HOSE</v>
          </cell>
          <cell r="H649">
            <v>49509201</v>
          </cell>
        </row>
        <row r="650">
          <cell r="D650" t="str">
            <v>HTP</v>
          </cell>
          <cell r="E650" t="str">
            <v>CTCP In Sách Giáo khoa Hòa Phát</v>
          </cell>
          <cell r="F650" t="str">
            <v>In ấn và các hoạt động hỗ trợ</v>
          </cell>
          <cell r="G650" t="str">
            <v>HNX</v>
          </cell>
          <cell r="H650">
            <v>1804980</v>
          </cell>
        </row>
        <row r="651">
          <cell r="D651" t="str">
            <v>HTR</v>
          </cell>
          <cell r="E651" t="str">
            <v>CTCP Đường sắt Hà Thái</v>
          </cell>
          <cell r="F651" t="str">
            <v>Hỗ trợ vận tải</v>
          </cell>
          <cell r="G651" t="str">
            <v>UPCoM</v>
          </cell>
          <cell r="H651">
            <v>1500700</v>
          </cell>
        </row>
        <row r="652">
          <cell r="D652" t="str">
            <v>HTT</v>
          </cell>
          <cell r="E652" t="str">
            <v>CTCP Thương mại Hà Tây</v>
          </cell>
          <cell r="F652" t="str">
            <v>Bất động sản</v>
          </cell>
          <cell r="G652" t="str">
            <v>UPCoM</v>
          </cell>
          <cell r="H652">
            <v>20000000</v>
          </cell>
        </row>
        <row r="653">
          <cell r="D653" t="str">
            <v>HTU</v>
          </cell>
          <cell r="E653" t="str">
            <v>CTCP Môi trường và Công trình đô thị Hà Tĩnh</v>
          </cell>
          <cell r="F653" t="str">
            <v>Dịch vụ quản lý và tái chế chất thải</v>
          </cell>
          <cell r="G653" t="str">
            <v>UPCoM</v>
          </cell>
          <cell r="H653">
            <v>16438382</v>
          </cell>
        </row>
        <row r="654">
          <cell r="D654" t="str">
            <v>HTV</v>
          </cell>
          <cell r="E654" t="str">
            <v>CTCP Logistics Vicem</v>
          </cell>
          <cell r="F654" t="str">
            <v>Vận tải đường thủy</v>
          </cell>
          <cell r="G654" t="str">
            <v>HOSE</v>
          </cell>
          <cell r="H654">
            <v>13104000</v>
          </cell>
        </row>
        <row r="655">
          <cell r="D655" t="str">
            <v>HTW</v>
          </cell>
          <cell r="E655" t="str">
            <v>CTCP Cấp nước Hà Tĩnh</v>
          </cell>
          <cell r="F655" t="str">
            <v>Nước, chất thải và các hệ thống khác</v>
          </cell>
          <cell r="G655" t="str">
            <v>UPCoM</v>
          </cell>
          <cell r="H655">
            <v>20400893</v>
          </cell>
        </row>
        <row r="656">
          <cell r="D656" t="str">
            <v>HU1</v>
          </cell>
          <cell r="E656" t="str">
            <v>CTCP Đầu tư và Xây dựng HUD1</v>
          </cell>
          <cell r="F656" t="str">
            <v>Phát triển bất động sản</v>
          </cell>
          <cell r="G656" t="str">
            <v>HOSE</v>
          </cell>
          <cell r="H656">
            <v>10000000</v>
          </cell>
        </row>
        <row r="657">
          <cell r="D657" t="str">
            <v>HU3</v>
          </cell>
          <cell r="E657" t="str">
            <v>CTCP Đầu tư và Xây dựng HUD3</v>
          </cell>
          <cell r="F657" t="str">
            <v>Xây dựng nhà cửa, cao ốc</v>
          </cell>
          <cell r="G657" t="str">
            <v>HOSE</v>
          </cell>
          <cell r="H657">
            <v>9999944</v>
          </cell>
        </row>
        <row r="658">
          <cell r="D658" t="str">
            <v>HU4</v>
          </cell>
          <cell r="E658" t="str">
            <v>CTCP Đầu tư và Xây dựng HUD4</v>
          </cell>
          <cell r="F658" t="str">
            <v>Bất động sản</v>
          </cell>
          <cell r="G658" t="str">
            <v>UPCoM</v>
          </cell>
          <cell r="H658">
            <v>15000000</v>
          </cell>
        </row>
        <row r="659">
          <cell r="D659" t="str">
            <v>HU6</v>
          </cell>
          <cell r="E659" t="str">
            <v>CTCP Đầu tư Phát triển Nhà và Đô thị HUD6</v>
          </cell>
          <cell r="F659" t="str">
            <v>Phát triển bất động sản</v>
          </cell>
          <cell r="G659" t="str">
            <v>UPCoM</v>
          </cell>
          <cell r="H659">
            <v>7500000</v>
          </cell>
        </row>
        <row r="660">
          <cell r="D660" t="str">
            <v>HUB</v>
          </cell>
          <cell r="E660" t="str">
            <v>CTCP Xây lắp Thừa Thiên Huế</v>
          </cell>
          <cell r="F660" t="str">
            <v>Xây dựng nhà cửa, cao ốc</v>
          </cell>
          <cell r="G660" t="str">
            <v>HOSE</v>
          </cell>
          <cell r="H660">
            <v>19057316</v>
          </cell>
        </row>
        <row r="661">
          <cell r="D661" t="str">
            <v>HUG</v>
          </cell>
          <cell r="E661" t="str">
            <v>Tổng Công ty May Hưng Yên - CTCP</v>
          </cell>
          <cell r="F661" t="str">
            <v>Sản xuất các sản phẩm may mặc</v>
          </cell>
          <cell r="G661" t="str">
            <v>UPCoM</v>
          </cell>
          <cell r="H661">
            <v>16259725</v>
          </cell>
        </row>
        <row r="662">
          <cell r="D662" t="str">
            <v>HUT</v>
          </cell>
          <cell r="E662" t="str">
            <v>CTCP Tasco</v>
          </cell>
          <cell r="F662" t="str">
            <v>Phát triển bất động sản</v>
          </cell>
          <cell r="G662" t="str">
            <v>HNX</v>
          </cell>
          <cell r="H662">
            <v>268631965</v>
          </cell>
        </row>
        <row r="663">
          <cell r="D663" t="str">
            <v>HUX</v>
          </cell>
          <cell r="E663" t="str">
            <v>CTCP Khoáng sản Thừa Thiên Huế</v>
          </cell>
          <cell r="F663" t="str">
            <v>Khai khoáng (ngoại trừ dầu mỏ và khí đốt)</v>
          </cell>
          <cell r="G663" t="str">
            <v>UPCoM</v>
          </cell>
          <cell r="H663">
            <v>11338648</v>
          </cell>
        </row>
        <row r="664">
          <cell r="D664" t="str">
            <v>HVA</v>
          </cell>
          <cell r="E664" t="str">
            <v>CTCP Đầu tư HVA</v>
          </cell>
          <cell r="F664" t="str">
            <v>Chăn nuôi</v>
          </cell>
          <cell r="G664" t="str">
            <v>UPCoM</v>
          </cell>
          <cell r="H664">
            <v>5650000</v>
          </cell>
        </row>
        <row r="665">
          <cell r="D665" t="str">
            <v>HVG</v>
          </cell>
          <cell r="E665" t="str">
            <v>CTCP Hùng Vương</v>
          </cell>
          <cell r="F665" t="str">
            <v>Sản xuất thực phẩm</v>
          </cell>
          <cell r="G665" t="str">
            <v>UPCoM</v>
          </cell>
          <cell r="H665">
            <v>227038291</v>
          </cell>
        </row>
        <row r="666">
          <cell r="D666" t="str">
            <v>HVH</v>
          </cell>
          <cell r="E666" t="str">
            <v>CTCP Đầu tư và Công nghệ HVC</v>
          </cell>
          <cell r="F666" t="str">
            <v>Nhà thầu chuyên môn</v>
          </cell>
          <cell r="G666" t="str">
            <v>HOSE</v>
          </cell>
          <cell r="H666"/>
        </row>
        <row r="667">
          <cell r="D667" t="str">
            <v>HVN</v>
          </cell>
          <cell r="E667" t="str">
            <v>Tổng Công ty Hàng không Việt Nam - CTCP</v>
          </cell>
          <cell r="F667" t="str">
            <v>Vận tải hàng không</v>
          </cell>
          <cell r="G667" t="str">
            <v>HOSE</v>
          </cell>
          <cell r="H667">
            <v>1418290847</v>
          </cell>
        </row>
        <row r="668">
          <cell r="D668" t="str">
            <v>HVT</v>
          </cell>
          <cell r="E668" t="str">
            <v>CTCP Hóa chất Việt Trì</v>
          </cell>
          <cell r="F668" t="str">
            <v>Sản xuất hóa chất, dược phẩm</v>
          </cell>
          <cell r="G668" t="str">
            <v>HNX</v>
          </cell>
          <cell r="H668">
            <v>10988059</v>
          </cell>
        </row>
        <row r="669">
          <cell r="D669" t="str">
            <v>HVX</v>
          </cell>
          <cell r="E669" t="str">
            <v>CTCP Xi măng VICEM Hải Vân</v>
          </cell>
          <cell r="F669" t="str">
            <v>Sản xuất sản phẩm khoáng chất phi kim</v>
          </cell>
          <cell r="G669" t="str">
            <v>HOSE</v>
          </cell>
          <cell r="H669">
            <v>38525250</v>
          </cell>
        </row>
        <row r="670">
          <cell r="D670" t="str">
            <v>HWS</v>
          </cell>
          <cell r="E670" t="str">
            <v>CTCP Cấp nước Thừa Thiên Huế</v>
          </cell>
          <cell r="F670" t="str">
            <v>Nước, chất thải và các hệ thống khác</v>
          </cell>
          <cell r="G670" t="str">
            <v>UPCoM</v>
          </cell>
          <cell r="H670">
            <v>87600000</v>
          </cell>
        </row>
        <row r="671">
          <cell r="D671" t="str">
            <v>I10</v>
          </cell>
          <cell r="E671" t="str">
            <v>CTCP Đầu tư Xây dựng Số 10 IDICO</v>
          </cell>
          <cell r="F671" t="str">
            <v>Xây dựng công nghiệp nặng và dân dụng</v>
          </cell>
          <cell r="G671" t="str">
            <v>UPCoM</v>
          </cell>
          <cell r="H671">
            <v>3500000</v>
          </cell>
        </row>
        <row r="672">
          <cell r="D672" t="str">
            <v>IBC</v>
          </cell>
          <cell r="E672" t="str">
            <v>CTCP Đầu tư Apax Holdings</v>
          </cell>
          <cell r="F672" t="str">
            <v>Dịch vụ tư vấn quản lý, khoa học và kỹ thuật</v>
          </cell>
          <cell r="G672" t="str">
            <v>HOSE</v>
          </cell>
          <cell r="H672">
            <v>81589735</v>
          </cell>
        </row>
        <row r="673">
          <cell r="D673" t="str">
            <v>IBD</v>
          </cell>
          <cell r="E673" t="str">
            <v>CTCP In Tổng hợp Bình Dương</v>
          </cell>
          <cell r="F673" t="str">
            <v>In ấn và các hoạt động hỗ trợ</v>
          </cell>
          <cell r="G673" t="str">
            <v>UPCoM</v>
          </cell>
          <cell r="H673">
            <v>9000000</v>
          </cell>
        </row>
        <row r="674">
          <cell r="D674" t="str">
            <v>IBN</v>
          </cell>
          <cell r="E674" t="str">
            <v>Công ty TNHH MTV In báo Nghệ An</v>
          </cell>
          <cell r="F674" t="str">
            <v>Công nghiệp xuất bản - Ngoại trừ internet</v>
          </cell>
          <cell r="G674" t="str">
            <v>UPCoM</v>
          </cell>
          <cell r="H674">
            <v>1776800</v>
          </cell>
        </row>
        <row r="675">
          <cell r="D675" t="str">
            <v>ICC</v>
          </cell>
          <cell r="E675" t="str">
            <v>CTCP Xây dựng Công nghiệp (ICC)</v>
          </cell>
          <cell r="F675" t="str">
            <v>Phát triển bất động sản</v>
          </cell>
          <cell r="G675" t="str">
            <v>UPCoM</v>
          </cell>
          <cell r="H675">
            <v>3800000</v>
          </cell>
        </row>
        <row r="676">
          <cell r="D676" t="str">
            <v>ICF</v>
          </cell>
          <cell r="E676" t="str">
            <v>CTCP Đầu tư Thương mại Thủy sản</v>
          </cell>
          <cell r="F676" t="str">
            <v>Sản xuất thực phẩm</v>
          </cell>
          <cell r="G676" t="str">
            <v>UPCoM</v>
          </cell>
          <cell r="H676">
            <v>12807000</v>
          </cell>
        </row>
        <row r="677">
          <cell r="D677" t="str">
            <v>ICG</v>
          </cell>
          <cell r="E677" t="str">
            <v>CTCP Xây dựng Sông Hồng</v>
          </cell>
          <cell r="F677" t="str">
            <v>Phát triển bất động sản</v>
          </cell>
          <cell r="G677" t="str">
            <v>HNX</v>
          </cell>
          <cell r="H677">
            <v>20000000</v>
          </cell>
        </row>
        <row r="678">
          <cell r="D678" t="str">
            <v>ICI</v>
          </cell>
          <cell r="E678" t="str">
            <v>CTCP Đầu tư và Xây dựng Công nghiệp</v>
          </cell>
          <cell r="F678" t="str">
            <v>Xây dựng nhà cửa, cao ốc</v>
          </cell>
          <cell r="G678" t="str">
            <v>UPCoM</v>
          </cell>
          <cell r="H678">
            <v>4000000</v>
          </cell>
        </row>
        <row r="679">
          <cell r="D679" t="str">
            <v>ICN</v>
          </cell>
          <cell r="E679" t="str">
            <v>CTCP Đầu tư Xây dựng Dầu khí IDICO</v>
          </cell>
          <cell r="F679" t="str">
            <v>Xây dựng công nghiệp nặng và dân dụng</v>
          </cell>
          <cell r="G679" t="str">
            <v>UPCoM</v>
          </cell>
          <cell r="H679">
            <v>8000000</v>
          </cell>
        </row>
        <row r="680">
          <cell r="D680" t="str">
            <v>ICT</v>
          </cell>
          <cell r="E680" t="str">
            <v>CTCP Viễn thông - Tin học Bưu điện</v>
          </cell>
          <cell r="F680" t="str">
            <v>Viễn thông</v>
          </cell>
          <cell r="G680" t="str">
            <v>HOSE</v>
          </cell>
          <cell r="H680">
            <v>32185000</v>
          </cell>
        </row>
        <row r="681">
          <cell r="D681" t="str">
            <v>IDC</v>
          </cell>
          <cell r="E681" t="str">
            <v>Tổng Công ty IDICO – CTCP</v>
          </cell>
          <cell r="F681" t="str">
            <v>Phát, truyền tải và phân phối điện năng</v>
          </cell>
          <cell r="G681" t="str">
            <v>HNX</v>
          </cell>
          <cell r="H681">
            <v>300000000</v>
          </cell>
        </row>
        <row r="682">
          <cell r="D682" t="str">
            <v>IDI</v>
          </cell>
          <cell r="E682" t="str">
            <v>CTCP Đầu tư và Phát triển Đa Quốc Gia - IDI</v>
          </cell>
          <cell r="F682" t="str">
            <v>Sản xuất thực phẩm</v>
          </cell>
          <cell r="G682" t="str">
            <v>HOSE</v>
          </cell>
          <cell r="H682">
            <v>227644608</v>
          </cell>
        </row>
        <row r="683">
          <cell r="D683" t="str">
            <v>IDJ</v>
          </cell>
          <cell r="E683" t="str">
            <v>CTCP Đầu tư IDJ Việt Nam</v>
          </cell>
          <cell r="F683" t="str">
            <v>Xây dựng nhà cửa, cao ốc</v>
          </cell>
          <cell r="G683" t="str">
            <v>HNX</v>
          </cell>
          <cell r="H683">
            <v>73512976</v>
          </cell>
        </row>
        <row r="684">
          <cell r="D684" t="str">
            <v>IDP</v>
          </cell>
          <cell r="E684" t="str">
            <v>CTCP Sữa Quốc tế</v>
          </cell>
          <cell r="F684" t="str">
            <v>Sản xuất thực phẩm</v>
          </cell>
          <cell r="G684" t="str">
            <v>UPCoM</v>
          </cell>
          <cell r="H684">
            <v>58945472</v>
          </cell>
        </row>
        <row r="685">
          <cell r="D685" t="str">
            <v>IDV</v>
          </cell>
          <cell r="E685" t="str">
            <v>CTCP Phát triển Hạ tầng Vĩnh Phúc</v>
          </cell>
          <cell r="F685" t="str">
            <v>Bất động sản</v>
          </cell>
          <cell r="G685" t="str">
            <v>HNX</v>
          </cell>
          <cell r="H685">
            <v>18351351</v>
          </cell>
        </row>
        <row r="686">
          <cell r="D686" t="str">
            <v>IFC</v>
          </cell>
          <cell r="E686" t="str">
            <v>CTCP Thực phẩm Công nghệ Sài Gòn</v>
          </cell>
          <cell r="F686" t="str">
            <v>Bán buôn hàng tiêu dùng</v>
          </cell>
          <cell r="G686" t="str">
            <v>UPCoM</v>
          </cell>
          <cell r="H686"/>
        </row>
        <row r="687">
          <cell r="D687" t="str">
            <v>IFS</v>
          </cell>
          <cell r="E687" t="str">
            <v>CTCP Thực phẩm Quốc tế</v>
          </cell>
          <cell r="F687" t="str">
            <v>Bán buôn hàng tiêu dùng</v>
          </cell>
          <cell r="G687" t="str">
            <v>UPCoM</v>
          </cell>
          <cell r="H687">
            <v>87140984</v>
          </cell>
        </row>
        <row r="688">
          <cell r="D688" t="str">
            <v>IHK</v>
          </cell>
          <cell r="E688" t="str">
            <v>CTCP In Hàng Không</v>
          </cell>
          <cell r="F688" t="str">
            <v>In ấn và các hoạt động hỗ trợ</v>
          </cell>
          <cell r="G688" t="str">
            <v>UPCoM</v>
          </cell>
          <cell r="H688">
            <v>2141928</v>
          </cell>
        </row>
        <row r="689">
          <cell r="D689" t="str">
            <v>IJC</v>
          </cell>
          <cell r="E689" t="str">
            <v>CTCP Phát triển Hạ tầng Kỹ thuật</v>
          </cell>
          <cell r="F689" t="str">
            <v>Phát triển bất động sản</v>
          </cell>
          <cell r="G689" t="str">
            <v>HOSE</v>
          </cell>
          <cell r="H689">
            <v>217097323</v>
          </cell>
        </row>
        <row r="690">
          <cell r="D690" t="str">
            <v>ILA</v>
          </cell>
          <cell r="E690" t="str">
            <v>CTCP ILA</v>
          </cell>
          <cell r="F690" t="str">
            <v>Kho bãi</v>
          </cell>
          <cell r="G690" t="str">
            <v>UPCoM</v>
          </cell>
          <cell r="H690">
            <v>16999993</v>
          </cell>
        </row>
        <row r="691">
          <cell r="D691" t="str">
            <v>ILB</v>
          </cell>
          <cell r="E691" t="str">
            <v>CTCP ICD Tân Cảng - Long Bình</v>
          </cell>
          <cell r="F691" t="str">
            <v>Kho bãi</v>
          </cell>
          <cell r="G691" t="str">
            <v>HOSE</v>
          </cell>
          <cell r="H691">
            <v>24502245</v>
          </cell>
        </row>
        <row r="692">
          <cell r="D692" t="str">
            <v>ILC</v>
          </cell>
          <cell r="E692" t="str">
            <v>CTCP Hợp tác Lao động với nước ngoài</v>
          </cell>
          <cell r="F692" t="str">
            <v>Vận tải đường thủy</v>
          </cell>
          <cell r="G692" t="str">
            <v>UPCoM</v>
          </cell>
          <cell r="H692">
            <v>6100391</v>
          </cell>
        </row>
        <row r="693">
          <cell r="D693" t="str">
            <v>ILS</v>
          </cell>
          <cell r="E693" t="str">
            <v>CTCP Đầu tư Thương mại và Dịch vụ Quốc tế</v>
          </cell>
          <cell r="F693" t="str">
            <v>Hỗ trợ vận tải</v>
          </cell>
          <cell r="G693" t="str">
            <v>UPCoM</v>
          </cell>
          <cell r="H693">
            <v>36000000</v>
          </cell>
        </row>
        <row r="694">
          <cell r="D694" t="str">
            <v>IME</v>
          </cell>
          <cell r="E694" t="str">
            <v>CTCP Cơ khí và Xây lắp Công nghiệp</v>
          </cell>
          <cell r="F694" t="str">
            <v>Sản xuất thiết bị, máy móc</v>
          </cell>
          <cell r="G694" t="str">
            <v>UPCoM</v>
          </cell>
          <cell r="H694">
            <v>3599948</v>
          </cell>
        </row>
        <row r="695">
          <cell r="D695" t="str">
            <v>IMP</v>
          </cell>
          <cell r="E695" t="str">
            <v>CTCP Dược phẩm Imexpharm</v>
          </cell>
          <cell r="F695" t="str">
            <v>Sản xuất hóa chất, dược phẩm</v>
          </cell>
          <cell r="G695" t="str">
            <v>HOSE</v>
          </cell>
          <cell r="H695">
            <v>66705370</v>
          </cell>
        </row>
        <row r="696">
          <cell r="D696" t="str">
            <v>IN4</v>
          </cell>
          <cell r="E696" t="str">
            <v>CTCP In Số 4</v>
          </cell>
          <cell r="F696" t="str">
            <v>In ấn và các hoạt động hỗ trợ</v>
          </cell>
          <cell r="G696" t="str">
            <v>UPCoM</v>
          </cell>
          <cell r="H696">
            <v>1200000</v>
          </cell>
        </row>
        <row r="697">
          <cell r="D697" t="str">
            <v>INC</v>
          </cell>
          <cell r="E697" t="str">
            <v>CTCP Tư vấn Đầu tư IDICO</v>
          </cell>
          <cell r="F697" t="str">
            <v>Kiến trúc, tư vấn xây dựng và dịch vụ liên quan</v>
          </cell>
          <cell r="G697" t="str">
            <v>HNX</v>
          </cell>
          <cell r="H697">
            <v>1800000</v>
          </cell>
        </row>
        <row r="698">
          <cell r="D698" t="str">
            <v>INN</v>
          </cell>
          <cell r="E698" t="str">
            <v>CTCP Bao bì và In Nông nghiệp</v>
          </cell>
          <cell r="F698" t="str">
            <v>Sản xuất giấy</v>
          </cell>
          <cell r="G698" t="str">
            <v>HNX</v>
          </cell>
          <cell r="H698">
            <v>18000000</v>
          </cell>
        </row>
        <row r="699">
          <cell r="D699" t="str">
            <v>IPA</v>
          </cell>
          <cell r="E699" t="str">
            <v>CTCP Tập đoàn Đầu tư I.P.A</v>
          </cell>
          <cell r="F699" t="str">
            <v>Môi giới chứng khoán, hàng hóa, đầu tư tài chính khác và các hoạt động liên quan</v>
          </cell>
          <cell r="G699" t="str">
            <v>UPCoM</v>
          </cell>
          <cell r="H699">
            <v>89098248</v>
          </cell>
        </row>
        <row r="700">
          <cell r="D700" t="str">
            <v>IPH</v>
          </cell>
          <cell r="E700" t="str">
            <v>CTCP In và Phát hành biểu mẫu Thống kê</v>
          </cell>
          <cell r="F700" t="str">
            <v>In ấn và các hoạt động hỗ trợ</v>
          </cell>
          <cell r="G700" t="str">
            <v>UPCoM</v>
          </cell>
          <cell r="H700">
            <v>1000000</v>
          </cell>
        </row>
        <row r="701">
          <cell r="D701" t="str">
            <v>IRC</v>
          </cell>
          <cell r="E701" t="str">
            <v>CTCP Cao su Công nghiệp</v>
          </cell>
          <cell r="F701" t="str">
            <v>Sản xuất hóa chất, dược phẩm</v>
          </cell>
          <cell r="G701" t="str">
            <v>UPCoM</v>
          </cell>
          <cell r="H701">
            <v>17500000</v>
          </cell>
        </row>
        <row r="702">
          <cell r="D702" t="str">
            <v>ISG</v>
          </cell>
          <cell r="E702" t="str">
            <v>CTCP Vận tải biển và Hợp tác Lao động Quốc tế</v>
          </cell>
          <cell r="F702" t="str">
            <v>Vận tải đường thủy</v>
          </cell>
          <cell r="G702" t="str">
            <v>UPCoM</v>
          </cell>
          <cell r="H702">
            <v>8800000</v>
          </cell>
        </row>
        <row r="703">
          <cell r="D703" t="str">
            <v>ISH</v>
          </cell>
          <cell r="E703" t="str">
            <v>CTCP Thủy điện Srok Phu Miêng IDICO</v>
          </cell>
          <cell r="F703" t="str">
            <v>Phát, truyền tải và phân phối điện năng</v>
          </cell>
          <cell r="G703" t="str">
            <v>UPCoM</v>
          </cell>
          <cell r="H703">
            <v>45000000</v>
          </cell>
        </row>
        <row r="704">
          <cell r="D704" t="str">
            <v>IST</v>
          </cell>
          <cell r="E704" t="str">
            <v>CTCP ICD Tân Cảng Sóng Thần</v>
          </cell>
          <cell r="F704" t="str">
            <v>Kho bãi</v>
          </cell>
          <cell r="G704" t="str">
            <v>UPCoM</v>
          </cell>
          <cell r="H704">
            <v>12008672</v>
          </cell>
        </row>
        <row r="705">
          <cell r="D705" t="str">
            <v>ITA</v>
          </cell>
          <cell r="E705" t="str">
            <v>CTCP Đầu tư và Công nghiệp Tân Tạo</v>
          </cell>
          <cell r="F705" t="str">
            <v>Bất động sản</v>
          </cell>
          <cell r="G705" t="str">
            <v>HOSE</v>
          </cell>
          <cell r="H705">
            <v>938463607</v>
          </cell>
        </row>
        <row r="706">
          <cell r="D706" t="str">
            <v>ITC</v>
          </cell>
          <cell r="E706" t="str">
            <v>CTCP Đầu tư và Kinh doanh Nhà</v>
          </cell>
          <cell r="F706" t="str">
            <v>Phát triển bất động sản</v>
          </cell>
          <cell r="G706" t="str">
            <v>HOSE</v>
          </cell>
          <cell r="H706">
            <v>79726294</v>
          </cell>
        </row>
        <row r="707">
          <cell r="D707" t="str">
            <v>ITD</v>
          </cell>
          <cell r="E707" t="str">
            <v>CTCP Công nghệ Tiên Phong</v>
          </cell>
          <cell r="F707" t="str">
            <v>Viễn thông</v>
          </cell>
          <cell r="G707" t="str">
            <v>HOSE</v>
          </cell>
          <cell r="H707">
            <v>19064798</v>
          </cell>
        </row>
        <row r="708">
          <cell r="D708" t="str">
            <v>ITQ</v>
          </cell>
          <cell r="E708" t="str">
            <v>CTCP Tập đoàn Thiên Quang</v>
          </cell>
          <cell r="F708" t="str">
            <v>Sản xuất sản phẩm kim loại tổng hợp</v>
          </cell>
          <cell r="G708" t="str">
            <v>HNX</v>
          </cell>
          <cell r="H708">
            <v>23843305</v>
          </cell>
        </row>
        <row r="709">
          <cell r="D709" t="str">
            <v>ITS</v>
          </cell>
          <cell r="E709" t="str">
            <v>CTCP Đầu tư Thương mại và Dịch vụ - Vinacomin</v>
          </cell>
          <cell r="F709" t="str">
            <v>Khai khoáng (ngoại trừ dầu mỏ và khí đốt)</v>
          </cell>
          <cell r="G709" t="str">
            <v>UPCoM</v>
          </cell>
          <cell r="H709">
            <v>25200000</v>
          </cell>
        </row>
        <row r="710">
          <cell r="D710" t="str">
            <v>IVS</v>
          </cell>
          <cell r="E710" t="str">
            <v>CTCP Chứng khoán Guotai Junan (Việt Nam)</v>
          </cell>
          <cell r="F710" t="str">
            <v>Môi giới chứng khoán, hàng hóa, đầu tư tài chính khác và các hoạt động liên quan</v>
          </cell>
          <cell r="G710" t="str">
            <v>HNX</v>
          </cell>
          <cell r="H710">
            <v>69350000</v>
          </cell>
        </row>
        <row r="711">
          <cell r="D711" t="str">
            <v>JOS</v>
          </cell>
          <cell r="E711" t="str">
            <v>CTCP Chế biến Thủy sản xuất khẩu Minh Hải</v>
          </cell>
          <cell r="F711" t="str">
            <v>Sản xuất thực phẩm</v>
          </cell>
          <cell r="G711" t="str">
            <v>UPCoM</v>
          </cell>
          <cell r="H711">
            <v>15322723</v>
          </cell>
        </row>
        <row r="712">
          <cell r="D712" t="str">
            <v>JVC</v>
          </cell>
          <cell r="E712" t="str">
            <v>CTCP Thiết bị Y tế Việt Nhật</v>
          </cell>
          <cell r="F712" t="str">
            <v>Bán buôn hàng lâu bền</v>
          </cell>
          <cell r="G712" t="str">
            <v>HOSE</v>
          </cell>
          <cell r="H712">
            <v>112500171</v>
          </cell>
        </row>
        <row r="713">
          <cell r="D713" t="str">
            <v>KAC</v>
          </cell>
          <cell r="E713" t="str">
            <v>CTCP Đầu tư Địa ốc Khang An</v>
          </cell>
          <cell r="F713" t="str">
            <v>Bất động sản</v>
          </cell>
          <cell r="G713" t="str">
            <v>UPCoM</v>
          </cell>
          <cell r="H713">
            <v>23999999</v>
          </cell>
        </row>
        <row r="714">
          <cell r="D714" t="str">
            <v>KBC</v>
          </cell>
          <cell r="E714" t="str">
            <v>Tổng Công ty Phát triển Đô thị Kinh Bắc - CTCP</v>
          </cell>
          <cell r="F714" t="str">
            <v>Bất động sản</v>
          </cell>
          <cell r="G714" t="str">
            <v>HOSE</v>
          </cell>
          <cell r="H714">
            <v>475711167</v>
          </cell>
        </row>
        <row r="715">
          <cell r="D715" t="str">
            <v>KCB</v>
          </cell>
          <cell r="E715" t="str">
            <v>CTCP khoáng Sản và Luyện Kim Cao Bằng</v>
          </cell>
          <cell r="F715" t="str">
            <v>Khai khoáng (ngoại trừ dầu mỏ và khí đốt)</v>
          </cell>
          <cell r="G715" t="str">
            <v>UPCoM</v>
          </cell>
          <cell r="H715">
            <v>8000000</v>
          </cell>
        </row>
        <row r="716">
          <cell r="D716" t="str">
            <v>KCE</v>
          </cell>
          <cell r="E716" t="str">
            <v>CTCP Bê tông Ly tâm Điện Lực Khánh Hòa</v>
          </cell>
          <cell r="F716" t="str">
            <v>Sản xuất sản phẩm khoáng chất phi kim</v>
          </cell>
          <cell r="G716" t="str">
            <v>UPCoM</v>
          </cell>
          <cell r="H716">
            <v>1500000</v>
          </cell>
        </row>
        <row r="717">
          <cell r="D717" t="str">
            <v>KDC</v>
          </cell>
          <cell r="E717" t="str">
            <v>CTCP Tập đoàn KIDO</v>
          </cell>
          <cell r="F717" t="str">
            <v>Sản xuất thực phẩm</v>
          </cell>
          <cell r="G717" t="str">
            <v>HOSE</v>
          </cell>
          <cell r="H717">
            <v>279741356</v>
          </cell>
        </row>
        <row r="718">
          <cell r="D718" t="str">
            <v>KDH</v>
          </cell>
          <cell r="E718" t="str">
            <v>CTCP Đầu tư và Kinh doanh Nhà Khang Điền</v>
          </cell>
          <cell r="F718" t="str">
            <v>Phát triển bất động sản</v>
          </cell>
          <cell r="G718" t="str">
            <v>HOSE</v>
          </cell>
          <cell r="H718">
            <v>642937069</v>
          </cell>
        </row>
        <row r="719">
          <cell r="D719" t="str">
            <v>KDM</v>
          </cell>
          <cell r="E719" t="str">
            <v>CTCP Tổng Công ty Phát triển Khu đô thị Dân cư mới</v>
          </cell>
          <cell r="F719" t="str">
            <v>Bán buôn hàng lâu bền</v>
          </cell>
          <cell r="G719" t="str">
            <v>HNX</v>
          </cell>
          <cell r="H719">
            <v>7100000</v>
          </cell>
        </row>
        <row r="720">
          <cell r="D720" t="str">
            <v>KGM</v>
          </cell>
          <cell r="E720" t="str">
            <v>CTCP Xuất nhập khẩu Kiên Giang</v>
          </cell>
          <cell r="F720" t="str">
            <v>Sản xuất thực phẩm</v>
          </cell>
          <cell r="G720" t="str">
            <v>UPCoM</v>
          </cell>
          <cell r="H720">
            <v>25430000</v>
          </cell>
        </row>
        <row r="721">
          <cell r="D721" t="str">
            <v>KHA</v>
          </cell>
          <cell r="E721" t="str">
            <v>CTCP Đầu tư và Dịch vụ Khánh Hội</v>
          </cell>
          <cell r="F721" t="str">
            <v>Bất động sản</v>
          </cell>
          <cell r="G721" t="str">
            <v>UPCoM</v>
          </cell>
          <cell r="H721">
            <v>14120309</v>
          </cell>
        </row>
        <row r="722">
          <cell r="D722" t="str">
            <v>KHB</v>
          </cell>
          <cell r="E722" t="str">
            <v>CTCP Khoáng sản Hòa Bình</v>
          </cell>
          <cell r="F722" t="str">
            <v>Khai khoáng (ngoại trừ dầu mỏ và khí đốt)</v>
          </cell>
          <cell r="G722" t="str">
            <v>UPCoM</v>
          </cell>
          <cell r="H722">
            <v>29075499</v>
          </cell>
        </row>
        <row r="723">
          <cell r="D723" t="str">
            <v>KHD</v>
          </cell>
          <cell r="E723" t="str">
            <v>CTCP Khai thác Chế biến Khoáng sản Hải Dương</v>
          </cell>
          <cell r="F723" t="str">
            <v>Sản xuất sản phẩm khoáng chất phi kim</v>
          </cell>
          <cell r="G723" t="str">
            <v>UPCoM</v>
          </cell>
          <cell r="H723">
            <v>3262818</v>
          </cell>
        </row>
        <row r="724">
          <cell r="D724" t="str">
            <v>KHG</v>
          </cell>
          <cell r="E724" t="str">
            <v>CTCP Bất động sản Khải Hoàn Land</v>
          </cell>
          <cell r="F724" t="str">
            <v>Bất động sản</v>
          </cell>
          <cell r="G724" t="str">
            <v>HNX</v>
          </cell>
          <cell r="H724">
            <v>174817547</v>
          </cell>
        </row>
        <row r="725">
          <cell r="D725" t="str">
            <v>KHL</v>
          </cell>
          <cell r="E725" t="str">
            <v>CTCP khoáng Sản và Vật liệu Xây dựng Hưng Long</v>
          </cell>
          <cell r="F725" t="str">
            <v>Sản xuất sản phẩm khoáng chất phi kim</v>
          </cell>
          <cell r="G725" t="str">
            <v>UPCoM</v>
          </cell>
          <cell r="H725">
            <v>12000000</v>
          </cell>
        </row>
        <row r="726">
          <cell r="D726" t="str">
            <v>KHP</v>
          </cell>
          <cell r="E726" t="str">
            <v>CTCP Điện lực Khánh Hòa</v>
          </cell>
          <cell r="F726" t="str">
            <v>Phát, truyền tải và phân phối điện năng</v>
          </cell>
          <cell r="G726" t="str">
            <v>HOSE</v>
          </cell>
          <cell r="H726">
            <v>57571016</v>
          </cell>
        </row>
        <row r="727">
          <cell r="D727" t="str">
            <v>KHS</v>
          </cell>
          <cell r="E727" t="str">
            <v>CTCP Kiên Hùng</v>
          </cell>
          <cell r="F727" t="str">
            <v>Sản xuất thực phẩm</v>
          </cell>
          <cell r="G727" t="str">
            <v>HNX</v>
          </cell>
          <cell r="H727">
            <v>12090969</v>
          </cell>
        </row>
        <row r="728">
          <cell r="D728" t="str">
            <v>KHW</v>
          </cell>
          <cell r="E728" t="str">
            <v>CTCP Cấp thoát nước Khánh Hòa</v>
          </cell>
          <cell r="F728" t="str">
            <v>Nước, chất thải và các hệ thống khác</v>
          </cell>
          <cell r="G728" t="str">
            <v>UPCoM</v>
          </cell>
          <cell r="H728">
            <v>26000000</v>
          </cell>
        </row>
        <row r="729">
          <cell r="D729" t="str">
            <v>KIP</v>
          </cell>
          <cell r="E729" t="str">
            <v>CTCP K.I.P Việt Nam</v>
          </cell>
          <cell r="F729" t="str">
            <v>Sản xuất trang thiết bị, dụng cụ điện</v>
          </cell>
          <cell r="G729" t="str">
            <v>UPCoM</v>
          </cell>
          <cell r="H729">
            <v>9800000</v>
          </cell>
        </row>
        <row r="730">
          <cell r="D730" t="str">
            <v>KKC</v>
          </cell>
          <cell r="E730" t="str">
            <v>CTCP Kim Khí KKC</v>
          </cell>
          <cell r="F730" t="str">
            <v>Sản xuất các sản phẩm kim loại cơ bản</v>
          </cell>
          <cell r="G730" t="str">
            <v>HNX</v>
          </cell>
          <cell r="H730">
            <v>5200000</v>
          </cell>
        </row>
        <row r="731">
          <cell r="D731" t="str">
            <v>KLB</v>
          </cell>
          <cell r="E731" t="str">
            <v>Ngân hàng TMCP Kiên Long</v>
          </cell>
          <cell r="F731" t="str">
            <v>Trung gian tín dụng và các hoạt động liên quan</v>
          </cell>
          <cell r="G731" t="str">
            <v>UPCoM</v>
          </cell>
          <cell r="H731">
            <v>323695796</v>
          </cell>
        </row>
        <row r="732">
          <cell r="D732" t="str">
            <v>KLF</v>
          </cell>
          <cell r="E732" t="str">
            <v>CTCP Đầu tư Thương mại và Xuất nhập khẩu CFS</v>
          </cell>
          <cell r="F732" t="str">
            <v>Chợ, đại lý và môi giới bán buôn điện tử</v>
          </cell>
          <cell r="G732" t="str">
            <v>HNX</v>
          </cell>
          <cell r="H732">
            <v>165352561</v>
          </cell>
        </row>
        <row r="733">
          <cell r="D733" t="str">
            <v>KLM</v>
          </cell>
          <cell r="E733" t="str">
            <v>CTCP Kim loại màu Nghệ Tĩnh</v>
          </cell>
          <cell r="F733" t="str">
            <v>Khai khoáng (ngoại trừ dầu mỏ và khí đốt)</v>
          </cell>
          <cell r="G733" t="str">
            <v>UPCoM</v>
          </cell>
          <cell r="H733">
            <v>3885000</v>
          </cell>
        </row>
        <row r="734">
          <cell r="D734" t="str">
            <v>KMR</v>
          </cell>
          <cell r="E734" t="str">
            <v>CTCP Mirae</v>
          </cell>
          <cell r="F734" t="str">
            <v>Sản xuất các sản phẩm dệt</v>
          </cell>
          <cell r="G734" t="str">
            <v>HOSE</v>
          </cell>
          <cell r="H734">
            <v>56881443</v>
          </cell>
        </row>
        <row r="735">
          <cell r="D735" t="str">
            <v>KMT</v>
          </cell>
          <cell r="E735" t="str">
            <v>CTCP Kim khí Miền Trung</v>
          </cell>
          <cell r="F735" t="str">
            <v>Bán buôn hàng lâu bền</v>
          </cell>
          <cell r="G735" t="str">
            <v>HNX</v>
          </cell>
          <cell r="H735">
            <v>9846562</v>
          </cell>
        </row>
        <row r="736">
          <cell r="D736" t="str">
            <v>KOS</v>
          </cell>
          <cell r="E736" t="str">
            <v>CTCP KOSY</v>
          </cell>
          <cell r="F736" t="str">
            <v>Bất động sản</v>
          </cell>
          <cell r="G736" t="str">
            <v>HOSE</v>
          </cell>
          <cell r="H736">
            <v>165031335</v>
          </cell>
        </row>
        <row r="737">
          <cell r="D737" t="str">
            <v>KPF</v>
          </cell>
          <cell r="E737" t="str">
            <v>CTCP Đầu tư Tài chính Hoàng Minh</v>
          </cell>
          <cell r="F737" t="str">
            <v>Kiến trúc, tư vấn xây dựng và dịch vụ liên quan</v>
          </cell>
          <cell r="G737" t="str">
            <v>HOSE</v>
          </cell>
          <cell r="H737">
            <v>57968933</v>
          </cell>
        </row>
        <row r="738">
          <cell r="D738" t="str">
            <v>KSB</v>
          </cell>
          <cell r="E738" t="str">
            <v>CTCP Khoáng sản và Xây dựng Bình Dương</v>
          </cell>
          <cell r="F738" t="str">
            <v>Khai khoáng (ngoại trừ dầu mỏ và khí đốt)</v>
          </cell>
          <cell r="G738" t="str">
            <v>HOSE</v>
          </cell>
          <cell r="H738">
            <v>73631202</v>
          </cell>
        </row>
        <row r="739">
          <cell r="D739" t="str">
            <v>KSD</v>
          </cell>
          <cell r="E739" t="str">
            <v>CTCP Đầu tư DNA</v>
          </cell>
          <cell r="F739" t="str">
            <v>Sản xuất trang thiết bị, dụng cụ điện</v>
          </cell>
          <cell r="G739" t="str">
            <v>HNX</v>
          </cell>
          <cell r="H739">
            <v>12000000</v>
          </cell>
        </row>
        <row r="740">
          <cell r="D740" t="str">
            <v>KSH</v>
          </cell>
          <cell r="E740" t="str">
            <v>CTCP DAMAC GLS</v>
          </cell>
          <cell r="F740" t="str">
            <v>Khai khoáng (ngoại trừ dầu mỏ và khí đốt)</v>
          </cell>
          <cell r="G740" t="str">
            <v>UPCoM</v>
          </cell>
          <cell r="H740">
            <v>57509675</v>
          </cell>
        </row>
        <row r="741">
          <cell r="D741" t="str">
            <v>KSK</v>
          </cell>
          <cell r="E741" t="str">
            <v>CTCP Khoáng sản Luyện kim màu</v>
          </cell>
          <cell r="F741" t="str">
            <v>Sản xuất sản phẩm khoáng chất phi kim</v>
          </cell>
          <cell r="G741" t="str">
            <v>UPCoM</v>
          </cell>
          <cell r="H741">
            <v>23888000</v>
          </cell>
        </row>
        <row r="742">
          <cell r="D742" t="str">
            <v>KSQ</v>
          </cell>
          <cell r="E742" t="str">
            <v>CTCP CNC Capital Việt Nam</v>
          </cell>
          <cell r="F742" t="str">
            <v>Khai khoáng (ngoại trừ dầu mỏ và khí đốt)</v>
          </cell>
          <cell r="G742" t="str">
            <v>HNX</v>
          </cell>
          <cell r="H742">
            <v>30000000</v>
          </cell>
        </row>
        <row r="743">
          <cell r="D743" t="str">
            <v>KST</v>
          </cell>
          <cell r="E743" t="str">
            <v>CTCP KASATI</v>
          </cell>
          <cell r="F743" t="str">
            <v>Viễn thông</v>
          </cell>
          <cell r="G743" t="str">
            <v>HNX</v>
          </cell>
          <cell r="H743">
            <v>2996010</v>
          </cell>
        </row>
        <row r="744">
          <cell r="D744" t="str">
            <v>KSV</v>
          </cell>
          <cell r="E744" t="str">
            <v>Tổng Công ty Khoáng sản TKV - CTCP</v>
          </cell>
          <cell r="F744" t="str">
            <v>Khai khoáng (ngoại trừ dầu mỏ và khí đốt)</v>
          </cell>
          <cell r="G744" t="str">
            <v>UPCoM</v>
          </cell>
          <cell r="H744">
            <v>200000000</v>
          </cell>
        </row>
        <row r="745">
          <cell r="D745" t="str">
            <v>KTC</v>
          </cell>
          <cell r="E745" t="str">
            <v>CTCP Thương mại Kiên Giang</v>
          </cell>
          <cell r="F745" t="str">
            <v>Sản xuất thực phẩm</v>
          </cell>
          <cell r="G745" t="str">
            <v>UPCoM</v>
          </cell>
          <cell r="H745">
            <v>36473833</v>
          </cell>
        </row>
        <row r="746">
          <cell r="D746" t="str">
            <v>KTL</v>
          </cell>
          <cell r="E746" t="str">
            <v>CTCP Kim Khí Thăng Long</v>
          </cell>
          <cell r="F746" t="str">
            <v>Sản xuất phương tiện vận tải</v>
          </cell>
          <cell r="G746" t="str">
            <v>UPCoM</v>
          </cell>
          <cell r="H746">
            <v>6519500</v>
          </cell>
        </row>
        <row r="747">
          <cell r="D747" t="str">
            <v>KTS</v>
          </cell>
          <cell r="E747" t="str">
            <v>CTCP Đường Kon Tum</v>
          </cell>
          <cell r="F747" t="str">
            <v>Sản xuất thực phẩm</v>
          </cell>
          <cell r="G747" t="str">
            <v>HNX</v>
          </cell>
          <cell r="H747">
            <v>5070000</v>
          </cell>
        </row>
        <row r="748">
          <cell r="D748" t="str">
            <v>KTT</v>
          </cell>
          <cell r="E748" t="str">
            <v>CTCP Tập đoàn Đầu tư KTT</v>
          </cell>
          <cell r="F748" t="str">
            <v>Xây dựng công nghiệp nặng và dân dụng</v>
          </cell>
          <cell r="G748" t="str">
            <v>HNX</v>
          </cell>
          <cell r="H748">
            <v>2955000</v>
          </cell>
        </row>
        <row r="749">
          <cell r="D749" t="str">
            <v>KVC</v>
          </cell>
          <cell r="E749" t="str">
            <v>CTCP Sản xuất Xuất nhập khẩu Inox Kim Vĩ</v>
          </cell>
          <cell r="F749" t="str">
            <v>Sản xuất sản phẩm kim loại tổng hợp</v>
          </cell>
          <cell r="G749" t="str">
            <v>HNX</v>
          </cell>
          <cell r="H749">
            <v>49500000</v>
          </cell>
        </row>
        <row r="750">
          <cell r="D750" t="str">
            <v>L10</v>
          </cell>
          <cell r="E750" t="str">
            <v>CTCP Lilama 10</v>
          </cell>
          <cell r="F750" t="str">
            <v>Nhà thầu chuyên môn</v>
          </cell>
          <cell r="G750" t="str">
            <v>HOSE</v>
          </cell>
          <cell r="H750">
            <v>9890000</v>
          </cell>
        </row>
        <row r="751">
          <cell r="D751" t="str">
            <v>L12</v>
          </cell>
          <cell r="E751" t="str">
            <v>CTCP Licogi 12</v>
          </cell>
          <cell r="F751" t="str">
            <v>Xây dựng công nghiệp nặng và dân dụng</v>
          </cell>
          <cell r="G751" t="str">
            <v>UPCoM</v>
          </cell>
          <cell r="H751">
            <v>7000000</v>
          </cell>
        </row>
        <row r="752">
          <cell r="D752" t="str">
            <v>L14</v>
          </cell>
          <cell r="E752" t="str">
            <v>CTCP Licogi 14</v>
          </cell>
          <cell r="F752" t="str">
            <v>Phát triển bất động sản</v>
          </cell>
          <cell r="G752" t="str">
            <v>HNX</v>
          </cell>
          <cell r="H752">
            <v>24345567</v>
          </cell>
        </row>
        <row r="753">
          <cell r="D753" t="str">
            <v>L18</v>
          </cell>
          <cell r="E753" t="str">
            <v>CTCP Đầu tư và Xây dựng Số 18</v>
          </cell>
          <cell r="F753" t="str">
            <v>Xây dựng công nghiệp nặng và dân dụng</v>
          </cell>
          <cell r="G753" t="str">
            <v>HNX</v>
          </cell>
          <cell r="H753">
            <v>38116528</v>
          </cell>
        </row>
        <row r="754">
          <cell r="D754" t="str">
            <v>L35</v>
          </cell>
          <cell r="E754" t="str">
            <v>CTCP Cơ khí Lắp máy Lilama</v>
          </cell>
          <cell r="F754" t="str">
            <v>Xây dựng công nghiệp nặng và dân dụng</v>
          </cell>
          <cell r="G754" t="str">
            <v>HNX</v>
          </cell>
          <cell r="H754">
            <v>3265155</v>
          </cell>
        </row>
        <row r="755">
          <cell r="D755" t="str">
            <v>L40</v>
          </cell>
          <cell r="E755" t="str">
            <v>CTCP Đầu Tư và Xây dựng 40</v>
          </cell>
          <cell r="F755" t="str">
            <v>Xây dựng công nghiệp nặng và dân dụng</v>
          </cell>
          <cell r="G755" t="str">
            <v>HNX</v>
          </cell>
          <cell r="H755">
            <v>3600000</v>
          </cell>
        </row>
        <row r="756">
          <cell r="D756" t="str">
            <v>L43</v>
          </cell>
          <cell r="E756" t="str">
            <v>CTCP Lilama 45.3</v>
          </cell>
          <cell r="F756" t="str">
            <v>Nhà thầu chuyên môn</v>
          </cell>
          <cell r="G756" t="str">
            <v>HNX</v>
          </cell>
          <cell r="H756">
            <v>3500000</v>
          </cell>
        </row>
        <row r="757">
          <cell r="D757" t="str">
            <v>L44</v>
          </cell>
          <cell r="E757" t="str">
            <v>CTCP Lilama 45.4</v>
          </cell>
          <cell r="F757" t="str">
            <v>Nhà thầu chuyên môn</v>
          </cell>
          <cell r="G757" t="str">
            <v>UPCoM</v>
          </cell>
          <cell r="H757">
            <v>4000000</v>
          </cell>
        </row>
        <row r="758">
          <cell r="D758" t="str">
            <v>L45</v>
          </cell>
          <cell r="E758" t="str">
            <v>CTCP Lilama 45.1</v>
          </cell>
          <cell r="F758" t="str">
            <v>Sản xuất trang thiết bị nội thất và sản phẩm liên quan</v>
          </cell>
          <cell r="G758" t="str">
            <v>UPCoM</v>
          </cell>
          <cell r="H758">
            <v>4800000</v>
          </cell>
        </row>
        <row r="759">
          <cell r="D759" t="str">
            <v>L61</v>
          </cell>
          <cell r="E759" t="str">
            <v>CTCP Lilama 69-1</v>
          </cell>
          <cell r="F759" t="str">
            <v>Nhà thầu chuyên môn</v>
          </cell>
          <cell r="G759" t="str">
            <v>HNX</v>
          </cell>
          <cell r="H759">
            <v>7576200</v>
          </cell>
        </row>
        <row r="760">
          <cell r="D760" t="str">
            <v>L62</v>
          </cell>
          <cell r="E760" t="str">
            <v>CTCP Lilama 69-2</v>
          </cell>
          <cell r="F760" t="str">
            <v>Nhà thầu chuyên môn</v>
          </cell>
          <cell r="G760" t="str">
            <v>HNX</v>
          </cell>
          <cell r="H760">
            <v>8298243</v>
          </cell>
        </row>
        <row r="761">
          <cell r="D761" t="str">
            <v>L63</v>
          </cell>
          <cell r="E761" t="str">
            <v>CTCP Lilama 69-3</v>
          </cell>
          <cell r="F761" t="str">
            <v>Sản xuất trang thiết bị nội thất và sản phẩm liên quan</v>
          </cell>
          <cell r="G761" t="str">
            <v>UPCoM</v>
          </cell>
          <cell r="H761">
            <v>8279361</v>
          </cell>
        </row>
        <row r="762">
          <cell r="D762" t="str">
            <v>LAF</v>
          </cell>
          <cell r="E762" t="str">
            <v>CTCP Chế biến hàng Xuất khẩu Long An</v>
          </cell>
          <cell r="F762" t="str">
            <v>Sản xuất thực phẩm</v>
          </cell>
          <cell r="G762" t="str">
            <v>HNX</v>
          </cell>
          <cell r="H762">
            <v>14728019</v>
          </cell>
        </row>
        <row r="763">
          <cell r="D763" t="str">
            <v>LAI</v>
          </cell>
          <cell r="E763" t="str">
            <v>CTCP Đầu Tư Xây dựng Long An IDICO</v>
          </cell>
          <cell r="F763" t="str">
            <v>Bất động sản</v>
          </cell>
          <cell r="G763" t="str">
            <v>UPCoM</v>
          </cell>
          <cell r="H763">
            <v>8550000</v>
          </cell>
        </row>
        <row r="764">
          <cell r="D764" t="str">
            <v>LAS</v>
          </cell>
          <cell r="E764" t="str">
            <v>CTCP Supe Phốt phát và Hóa chất Lâm Thao</v>
          </cell>
          <cell r="F764" t="str">
            <v>Sản xuất hóa chất, dược phẩm</v>
          </cell>
          <cell r="G764" t="str">
            <v>HNX</v>
          </cell>
          <cell r="H764">
            <v>112856400</v>
          </cell>
        </row>
        <row r="765">
          <cell r="D765" t="str">
            <v>LAW</v>
          </cell>
          <cell r="E765" t="str">
            <v>CTCP Cấp thoát nước Long An</v>
          </cell>
          <cell r="F765" t="str">
            <v>Nước, chất thải và các hệ thống khác</v>
          </cell>
          <cell r="G765" t="str">
            <v>UPCoM</v>
          </cell>
          <cell r="H765">
            <v>12200000</v>
          </cell>
        </row>
        <row r="766">
          <cell r="D766" t="str">
            <v>LBC</v>
          </cell>
          <cell r="E766" t="str">
            <v>CTCP Thương mại - Đầu tư Long Biên</v>
          </cell>
          <cell r="F766" t="str">
            <v>Của hàng hàng hóa tổng hợp</v>
          </cell>
          <cell r="G766" t="str">
            <v>UPCoM</v>
          </cell>
          <cell r="H766">
            <v>1500000</v>
          </cell>
        </row>
        <row r="767">
          <cell r="D767" t="str">
            <v>LBE</v>
          </cell>
          <cell r="E767" t="str">
            <v>CTCP Sách và Thiết bị Trường học Long An</v>
          </cell>
          <cell r="F767" t="str">
            <v>Công nghiệp xuất bản - Ngoại trừ internet</v>
          </cell>
          <cell r="G767" t="str">
            <v>HNX</v>
          </cell>
          <cell r="H767">
            <v>1100000</v>
          </cell>
        </row>
        <row r="768">
          <cell r="D768" t="str">
            <v>LBM</v>
          </cell>
          <cell r="E768" t="str">
            <v>CTCP Khoáng sản và Vật liệu Xây dựng Lâm Đồng</v>
          </cell>
          <cell r="F768" t="str">
            <v>Sản xuất sản phẩm khoáng chất phi kim</v>
          </cell>
          <cell r="G768" t="str">
            <v>HOSE</v>
          </cell>
          <cell r="H768">
            <v>10000000</v>
          </cell>
        </row>
        <row r="769">
          <cell r="D769" t="str">
            <v>LCC</v>
          </cell>
          <cell r="E769" t="str">
            <v>CTCP Xi măng Hồng Phong</v>
          </cell>
          <cell r="F769" t="str">
            <v>Sản xuất sản phẩm khoáng chất phi kim</v>
          </cell>
          <cell r="G769" t="str">
            <v>UPCoM</v>
          </cell>
          <cell r="H769">
            <v>5838999</v>
          </cell>
        </row>
        <row r="770">
          <cell r="D770" t="str">
            <v>LCD</v>
          </cell>
          <cell r="E770" t="str">
            <v>CTCP Lắp máy - Thí nghiệm Cơ điện</v>
          </cell>
          <cell r="F770" t="str">
            <v>Nhà thầu chuyên môn</v>
          </cell>
          <cell r="G770" t="str">
            <v>HNX</v>
          </cell>
          <cell r="H770">
            <v>1474000</v>
          </cell>
        </row>
        <row r="771">
          <cell r="D771" t="str">
            <v>LCG</v>
          </cell>
          <cell r="E771" t="str">
            <v>CTCP Licogi 16</v>
          </cell>
          <cell r="F771" t="str">
            <v>Xây dựng công nghiệp nặng và dân dụng</v>
          </cell>
          <cell r="G771" t="str">
            <v>HOSE</v>
          </cell>
          <cell r="H771">
            <v>117248510</v>
          </cell>
        </row>
        <row r="772">
          <cell r="D772" t="str">
            <v>LCM</v>
          </cell>
          <cell r="E772" t="str">
            <v>CTCP Khai thác và Chế biến khoáng sản Lào Cai</v>
          </cell>
          <cell r="F772" t="str">
            <v>Khai khoáng (ngoại trừ dầu mỏ và khí đốt)</v>
          </cell>
          <cell r="G772" t="str">
            <v>HOSE</v>
          </cell>
          <cell r="H772">
            <v>24633000</v>
          </cell>
        </row>
        <row r="773">
          <cell r="D773" t="str">
            <v>LCS</v>
          </cell>
          <cell r="E773" t="str">
            <v>CTCP Licogi 166</v>
          </cell>
          <cell r="F773" t="str">
            <v>Xây dựng công nghiệp nặng và dân dụng</v>
          </cell>
          <cell r="G773" t="str">
            <v>HNX</v>
          </cell>
          <cell r="H773">
            <v>7600000</v>
          </cell>
        </row>
        <row r="774">
          <cell r="D774" t="str">
            <v>LCW</v>
          </cell>
          <cell r="E774" t="str">
            <v>CTCP Nước sạch Lai Châu</v>
          </cell>
          <cell r="F774" t="str">
            <v>Nước, chất thải và các hệ thống khác</v>
          </cell>
          <cell r="G774" t="str">
            <v>UPCoM</v>
          </cell>
          <cell r="H774">
            <v>21586514</v>
          </cell>
        </row>
        <row r="775">
          <cell r="D775" t="str">
            <v>LDG</v>
          </cell>
          <cell r="E775" t="str">
            <v>CTCP Đầu tư LDG</v>
          </cell>
          <cell r="F775" t="str">
            <v>Bất động sản</v>
          </cell>
          <cell r="G775" t="str">
            <v>HOSE</v>
          </cell>
          <cell r="H775">
            <v>240212451</v>
          </cell>
        </row>
        <row r="776">
          <cell r="D776" t="str">
            <v>LDP</v>
          </cell>
          <cell r="E776" t="str">
            <v>CTCP Dược Lâm Đồng (Ladophar)</v>
          </cell>
          <cell r="F776" t="str">
            <v>Sản xuất hóa chất, dược phẩm</v>
          </cell>
          <cell r="G776" t="str">
            <v>HNX</v>
          </cell>
          <cell r="H776">
            <v>12703167</v>
          </cell>
        </row>
        <row r="777">
          <cell r="D777" t="str">
            <v>LDW</v>
          </cell>
          <cell r="E777" t="str">
            <v>CTCP Cấp thoát nước Lâm Đồng</v>
          </cell>
          <cell r="F777" t="str">
            <v>Nước, chất thải và các hệ thống khác</v>
          </cell>
          <cell r="G777" t="str">
            <v>UPCoM</v>
          </cell>
          <cell r="H777">
            <v>78800000</v>
          </cell>
        </row>
        <row r="778">
          <cell r="D778" t="str">
            <v>LEC</v>
          </cell>
          <cell r="E778" t="str">
            <v>CTCP Bất động sản Điện lực Miền Trung</v>
          </cell>
          <cell r="F778" t="str">
            <v>Xây dựng nhà cửa, cao ốc</v>
          </cell>
          <cell r="G778" t="str">
            <v>HOSE</v>
          </cell>
          <cell r="H778">
            <v>26100000</v>
          </cell>
        </row>
        <row r="779">
          <cell r="D779" t="str">
            <v>LG9</v>
          </cell>
          <cell r="E779" t="str">
            <v>CTCP Cơ giới và Xây lắp Số 9</v>
          </cell>
          <cell r="F779" t="str">
            <v>Xây dựng công nghiệp nặng và dân dụng</v>
          </cell>
          <cell r="G779" t="str">
            <v>UPCoM</v>
          </cell>
          <cell r="H779">
            <v>5026600</v>
          </cell>
        </row>
        <row r="780">
          <cell r="D780" t="str">
            <v>LGC</v>
          </cell>
          <cell r="E780" t="str">
            <v>CTCP Đầu tư Cầu đường CII</v>
          </cell>
          <cell r="F780" t="str">
            <v>Xây dựng công nghiệp nặng và dân dụng</v>
          </cell>
          <cell r="G780" t="str">
            <v>HOSE</v>
          </cell>
          <cell r="H780">
            <v>192854765</v>
          </cell>
        </row>
        <row r="781">
          <cell r="D781" t="str">
            <v>LGL</v>
          </cell>
          <cell r="E781" t="str">
            <v>CTCP Đầu tư và Phát triển Đô thị Long Giang</v>
          </cell>
          <cell r="F781" t="str">
            <v>Bất động sản</v>
          </cell>
          <cell r="G781" t="str">
            <v>HOSE</v>
          </cell>
          <cell r="H781">
            <v>51500000</v>
          </cell>
        </row>
        <row r="782">
          <cell r="D782" t="str">
            <v>LGM</v>
          </cell>
          <cell r="E782" t="str">
            <v>CTCP Giày da và May mặc Xuất khẩu</v>
          </cell>
          <cell r="F782" t="str">
            <v>Sản xuất các sản phẩm may mặc</v>
          </cell>
          <cell r="G782" t="str">
            <v>UPCoM</v>
          </cell>
          <cell r="H782">
            <v>7400000</v>
          </cell>
        </row>
        <row r="783">
          <cell r="D783" t="str">
            <v>LHC</v>
          </cell>
          <cell r="E783" t="str">
            <v>CTCP Đầu tư và Xây dựng Thủy lợi Lâm Đồng</v>
          </cell>
          <cell r="F783" t="str">
            <v>Xây dựng công nghiệp nặng và dân dụng</v>
          </cell>
          <cell r="G783" t="str">
            <v>HNX</v>
          </cell>
          <cell r="H783">
            <v>7200000</v>
          </cell>
        </row>
        <row r="784">
          <cell r="D784" t="str">
            <v>LHG</v>
          </cell>
          <cell r="E784" t="str">
            <v>CTCP Long Hậu</v>
          </cell>
          <cell r="F784" t="str">
            <v>Bất động sản</v>
          </cell>
          <cell r="G784" t="str">
            <v>HOSE</v>
          </cell>
          <cell r="H784">
            <v>50012010</v>
          </cell>
        </row>
        <row r="785">
          <cell r="D785" t="str">
            <v>LIC</v>
          </cell>
          <cell r="E785" t="str">
            <v>Tổng Công ty LICOGI - CTCP</v>
          </cell>
          <cell r="F785" t="str">
            <v>Xây dựng nhà cửa, cao ốc</v>
          </cell>
          <cell r="G785" t="str">
            <v>UPCoM</v>
          </cell>
          <cell r="H785">
            <v>90000000</v>
          </cell>
        </row>
        <row r="786">
          <cell r="D786" t="str">
            <v>LIG</v>
          </cell>
          <cell r="E786" t="str">
            <v>CTCP Licogi 13</v>
          </cell>
          <cell r="F786" t="str">
            <v>Xây dựng công nghiệp nặng và dân dụng</v>
          </cell>
          <cell r="G786" t="str">
            <v>HNX</v>
          </cell>
          <cell r="H786">
            <v>64898032</v>
          </cell>
        </row>
        <row r="787">
          <cell r="D787" t="str">
            <v>LIX</v>
          </cell>
          <cell r="E787" t="str">
            <v>CTCP Bột Giặt Lix</v>
          </cell>
          <cell r="F787" t="str">
            <v>Sản xuất hóa chất, dược phẩm</v>
          </cell>
          <cell r="G787" t="str">
            <v>HOSE</v>
          </cell>
          <cell r="H787">
            <v>32400000</v>
          </cell>
        </row>
        <row r="788">
          <cell r="D788" t="str">
            <v>LKW</v>
          </cell>
          <cell r="E788" t="str">
            <v>CTCP Cấp nước Long Khánh</v>
          </cell>
          <cell r="F788" t="str">
            <v>Nước, chất thải và các hệ thống khác</v>
          </cell>
          <cell r="G788" t="str">
            <v>UPCoM</v>
          </cell>
          <cell r="H788">
            <v>2500000</v>
          </cell>
        </row>
        <row r="789">
          <cell r="D789" t="str">
            <v>LLM</v>
          </cell>
          <cell r="E789" t="str">
            <v>Tổng Công ty Lắp máy Việt Nam - CTCP</v>
          </cell>
          <cell r="F789" t="str">
            <v>Xây dựng công nghiệp nặng và dân dụng</v>
          </cell>
          <cell r="G789" t="str">
            <v>UPCoM</v>
          </cell>
          <cell r="H789">
            <v>79726104</v>
          </cell>
        </row>
        <row r="790">
          <cell r="D790" t="str">
            <v>LM3</v>
          </cell>
          <cell r="E790" t="str">
            <v>CTCP Lilama 3</v>
          </cell>
          <cell r="F790" t="str">
            <v>Xây dựng công nghiệp nặng và dân dụng</v>
          </cell>
          <cell r="G790" t="str">
            <v>UPCoM</v>
          </cell>
          <cell r="H790">
            <v>5150000</v>
          </cell>
        </row>
        <row r="791">
          <cell r="D791" t="str">
            <v>LM7</v>
          </cell>
          <cell r="E791" t="str">
            <v>CTCP Lilama 7</v>
          </cell>
          <cell r="F791" t="str">
            <v>Nhà thầu chuyên môn</v>
          </cell>
          <cell r="G791" t="str">
            <v>HNX</v>
          </cell>
          <cell r="H791">
            <v>4957000</v>
          </cell>
        </row>
        <row r="792">
          <cell r="D792" t="str">
            <v>LM8</v>
          </cell>
          <cell r="E792" t="str">
            <v>CTCP Lilama 18</v>
          </cell>
          <cell r="F792" t="str">
            <v>Nhà thầu chuyên môn</v>
          </cell>
          <cell r="G792" t="str">
            <v>HOSE</v>
          </cell>
          <cell r="H792">
            <v>9388682</v>
          </cell>
        </row>
        <row r="793">
          <cell r="D793" t="str">
            <v>LMC</v>
          </cell>
          <cell r="E793" t="str">
            <v>CTCP Khoáng sản Latca</v>
          </cell>
          <cell r="F793" t="str">
            <v>Sản xuất sản phẩm khoáng chất phi kim</v>
          </cell>
          <cell r="G793" t="str">
            <v>UPCoM</v>
          </cell>
          <cell r="H793">
            <v>1500000</v>
          </cell>
        </row>
        <row r="794">
          <cell r="D794" t="str">
            <v>LMH</v>
          </cell>
          <cell r="E794" t="str">
            <v>CTCP Landmark Holding</v>
          </cell>
          <cell r="F794" t="str">
            <v>Bán buôn hàng tiêu dùng</v>
          </cell>
          <cell r="G794" t="str">
            <v>UPCoM</v>
          </cell>
          <cell r="H794">
            <v>25629995</v>
          </cell>
        </row>
        <row r="795">
          <cell r="D795" t="str">
            <v>LMI</v>
          </cell>
          <cell r="E795" t="str">
            <v>CTCP Đầu tư Xây dựng Lắp máy IDICO</v>
          </cell>
          <cell r="F795" t="str">
            <v>Nhà thầu chuyên môn</v>
          </cell>
          <cell r="G795" t="str">
            <v>UPCoM</v>
          </cell>
          <cell r="H795">
            <v>5500000</v>
          </cell>
        </row>
        <row r="796">
          <cell r="D796" t="str">
            <v>LNC</v>
          </cell>
          <cell r="E796" t="str">
            <v>CTCP Lệ Ninh</v>
          </cell>
          <cell r="F796" t="str">
            <v>Trồng trọt</v>
          </cell>
          <cell r="G796" t="str">
            <v>UPCoM</v>
          </cell>
          <cell r="H796">
            <v>8230067</v>
          </cell>
        </row>
        <row r="797">
          <cell r="D797" t="str">
            <v>LO5</v>
          </cell>
          <cell r="E797" t="str">
            <v>CTCP Lilama 5</v>
          </cell>
          <cell r="F797" t="str">
            <v>Nhà thầu chuyên môn</v>
          </cell>
          <cell r="G797" t="str">
            <v>UPCoM</v>
          </cell>
          <cell r="H797">
            <v>5149791</v>
          </cell>
        </row>
        <row r="798">
          <cell r="D798" t="str">
            <v>LPB</v>
          </cell>
          <cell r="E798" t="str">
            <v>Ngân hàng TMCP Bưu điện Liên Việt</v>
          </cell>
          <cell r="F798" t="str">
            <v>Trung gian tín dụng và các hoạt động liên quan</v>
          </cell>
          <cell r="G798" t="str">
            <v>HOSE</v>
          </cell>
          <cell r="H798">
            <v>1074638915</v>
          </cell>
        </row>
        <row r="799">
          <cell r="D799" t="str">
            <v>LPT</v>
          </cell>
          <cell r="E799" t="str">
            <v>CTCP Thương mại và Sản xuất Lập Phương Thành</v>
          </cell>
          <cell r="F799" t="str">
            <v>Bán buôn hàng lâu bền</v>
          </cell>
          <cell r="G799" t="str">
            <v>UPCoM</v>
          </cell>
          <cell r="H799">
            <v>8000000</v>
          </cell>
        </row>
        <row r="800">
          <cell r="D800" t="str">
            <v>LQN</v>
          </cell>
          <cell r="E800" t="str">
            <v>CTCP Licogi Quảng Ngãi</v>
          </cell>
          <cell r="F800" t="str">
            <v>Sản xuất sản phẩm khoáng chất phi kim</v>
          </cell>
          <cell r="G800" t="str">
            <v>UPCoM</v>
          </cell>
          <cell r="H800">
            <v>1893540</v>
          </cell>
        </row>
        <row r="801">
          <cell r="D801" t="str">
            <v>LSS</v>
          </cell>
          <cell r="E801" t="str">
            <v>CTCP Mía Đường Lam Sơn</v>
          </cell>
          <cell r="F801" t="str">
            <v>Sản xuất thực phẩm</v>
          </cell>
          <cell r="G801" t="str">
            <v>HOSE</v>
          </cell>
          <cell r="H801">
            <v>70000000</v>
          </cell>
        </row>
        <row r="802">
          <cell r="D802" t="str">
            <v>LTC</v>
          </cell>
          <cell r="E802" t="str">
            <v>CTCP Điện nhẹ Viễn Thông</v>
          </cell>
          <cell r="F802" t="str">
            <v>Xây dựng công nghiệp nặng và dân dụng</v>
          </cell>
          <cell r="G802" t="str">
            <v>UPCoM</v>
          </cell>
          <cell r="H802">
            <v>4586000</v>
          </cell>
        </row>
        <row r="803">
          <cell r="D803" t="str">
            <v>LTG</v>
          </cell>
          <cell r="E803" t="str">
            <v>CTCP Tập đoàn Lộc Trời</v>
          </cell>
          <cell r="F803" t="str">
            <v>Sản xuất hóa chất, dược phẩm</v>
          </cell>
          <cell r="G803" t="str">
            <v>UPCoM</v>
          </cell>
          <cell r="H803">
            <v>80593340</v>
          </cell>
        </row>
        <row r="804">
          <cell r="D804" t="str">
            <v>LUT</v>
          </cell>
          <cell r="E804" t="str">
            <v>CTCP Đầu tư Xây dựng Lương Tài</v>
          </cell>
          <cell r="F804" t="str">
            <v>Xây dựng công nghiệp nặng và dân dụng</v>
          </cell>
          <cell r="G804" t="str">
            <v>HNX</v>
          </cell>
          <cell r="H804">
            <v>15000000</v>
          </cell>
        </row>
        <row r="805">
          <cell r="D805" t="str">
            <v>LWS</v>
          </cell>
          <cell r="E805" t="str">
            <v>CTCP Cấp nước Tỉnh Lào Cai</v>
          </cell>
          <cell r="F805" t="str">
            <v>Nước, chất thải và các hệ thống khác</v>
          </cell>
          <cell r="G805" t="str">
            <v>UPCoM</v>
          </cell>
          <cell r="H805">
            <v>17717665</v>
          </cell>
        </row>
        <row r="806">
          <cell r="D806" t="str">
            <v>LYF</v>
          </cell>
          <cell r="E806" t="str">
            <v>CTCP Lương thực Lương Yên</v>
          </cell>
          <cell r="F806" t="str">
            <v>Sản xuất thực phẩm</v>
          </cell>
          <cell r="G806" t="str">
            <v>UPCoM</v>
          </cell>
          <cell r="H806"/>
        </row>
        <row r="807">
          <cell r="D807" t="str">
            <v>M10</v>
          </cell>
          <cell r="E807" t="str">
            <v>Tổng Công ty May 10 - CTCP</v>
          </cell>
          <cell r="F807" t="str">
            <v>Sản xuất các sản phẩm may mặc</v>
          </cell>
          <cell r="G807" t="str">
            <v>UPCoM</v>
          </cell>
          <cell r="H807">
            <v>30240000</v>
          </cell>
        </row>
        <row r="808">
          <cell r="D808" t="str">
            <v>MA1</v>
          </cell>
          <cell r="E808" t="str">
            <v>CTCP Thiết bị</v>
          </cell>
          <cell r="F808" t="str">
            <v>Bất động sản</v>
          </cell>
          <cell r="G808" t="str">
            <v>UPCoM</v>
          </cell>
          <cell r="H808">
            <v>5289715</v>
          </cell>
        </row>
        <row r="809">
          <cell r="D809" t="str">
            <v>MAC</v>
          </cell>
          <cell r="E809" t="str">
            <v>CTCP Cung ứng và Dịch vụ Kỹ thuật Hàng Hải</v>
          </cell>
          <cell r="F809" t="str">
            <v>Hỗ trợ vận tải</v>
          </cell>
          <cell r="G809" t="str">
            <v>HNX</v>
          </cell>
          <cell r="H809">
            <v>15139745</v>
          </cell>
        </row>
        <row r="810">
          <cell r="D810" t="str">
            <v>MAS</v>
          </cell>
          <cell r="E810" t="str">
            <v>CTCP Dịch vụ Hàng không Sân bay Đà Nẵng</v>
          </cell>
          <cell r="F810" t="str">
            <v>Hỗ trợ vận tải</v>
          </cell>
          <cell r="G810" t="str">
            <v>HNX</v>
          </cell>
          <cell r="H810">
            <v>4267683</v>
          </cell>
        </row>
        <row r="811">
          <cell r="D811" t="str">
            <v>MBB</v>
          </cell>
          <cell r="E811" t="str">
            <v>Ngân hàng TMCP Quân Đội</v>
          </cell>
          <cell r="F811" t="str">
            <v>Trung gian tín dụng và các hoạt động liên quan</v>
          </cell>
          <cell r="G811" t="str">
            <v>HOSE</v>
          </cell>
          <cell r="H811">
            <v>3778321777</v>
          </cell>
        </row>
        <row r="812">
          <cell r="D812" t="str">
            <v>MBG</v>
          </cell>
          <cell r="E812" t="str">
            <v>CTCP Tập đoàn MBG</v>
          </cell>
          <cell r="F812" t="str">
            <v>Sản xuất trang thiết bị, dụng cụ điện</v>
          </cell>
          <cell r="G812" t="str">
            <v>HNX</v>
          </cell>
          <cell r="H812">
            <v>68095200</v>
          </cell>
        </row>
        <row r="813">
          <cell r="D813" t="str">
            <v>MBN</v>
          </cell>
          <cell r="E813" t="str">
            <v>CTCP Môi trường và Công trình đô thị Bắc Ninh</v>
          </cell>
          <cell r="F813" t="str">
            <v>Dịch vụ quản lý và tái chế chất thải</v>
          </cell>
          <cell r="G813" t="str">
            <v>UPCoM</v>
          </cell>
          <cell r="H813">
            <v>5750000</v>
          </cell>
        </row>
        <row r="814">
          <cell r="D814" t="str">
            <v>MBS</v>
          </cell>
          <cell r="E814" t="str">
            <v>CTCP Chứng khoán MB</v>
          </cell>
          <cell r="F814" t="str">
            <v>Môi giới chứng khoán, hàng hóa, đầu tư tài chính khác và các hoạt động liên quan</v>
          </cell>
          <cell r="G814" t="str">
            <v>HNX</v>
          </cell>
          <cell r="H814">
            <v>267618324</v>
          </cell>
        </row>
        <row r="815">
          <cell r="D815" t="str">
            <v>MC3</v>
          </cell>
          <cell r="E815" t="str">
            <v>CTCP Khoáng sản 3 - Vimico</v>
          </cell>
          <cell r="F815" t="str">
            <v>Các hoạt động hỗ trợ Khai khoáng</v>
          </cell>
          <cell r="G815" t="str">
            <v>UPCoM</v>
          </cell>
          <cell r="H815">
            <v>3500000</v>
          </cell>
        </row>
        <row r="816">
          <cell r="D816" t="str">
            <v>MCC</v>
          </cell>
          <cell r="E816" t="str">
            <v>CTCP Gạch ngói Cao cấp</v>
          </cell>
          <cell r="F816" t="str">
            <v>Sản xuất sản phẩm khoáng chất phi kim</v>
          </cell>
          <cell r="G816" t="str">
            <v>HNX</v>
          </cell>
          <cell r="H816">
            <v>5016124</v>
          </cell>
        </row>
        <row r="817">
          <cell r="D817" t="str">
            <v>MCF</v>
          </cell>
          <cell r="E817" t="str">
            <v>CTCP Xây lắp Cơ khí và Lương thực Thực phẩm</v>
          </cell>
          <cell r="F817" t="str">
            <v>Bán buôn hàng tiêu dùng</v>
          </cell>
          <cell r="G817" t="str">
            <v>HNX</v>
          </cell>
          <cell r="H817">
            <v>10777838</v>
          </cell>
        </row>
        <row r="818">
          <cell r="D818" t="str">
            <v>MCG</v>
          </cell>
          <cell r="E818" t="str">
            <v>CTCP Cơ điện và Xây dựng Việt Nam</v>
          </cell>
          <cell r="F818" t="str">
            <v>Sản xuất thiết bị, máy móc</v>
          </cell>
          <cell r="G818" t="str">
            <v>HOSE</v>
          </cell>
          <cell r="H818">
            <v>57510000</v>
          </cell>
        </row>
        <row r="819">
          <cell r="D819" t="str">
            <v>MCH</v>
          </cell>
          <cell r="E819" t="str">
            <v>CTCP Hàng tiêu dùng Masan</v>
          </cell>
          <cell r="F819" t="str">
            <v>Sản xuất thực phẩm</v>
          </cell>
          <cell r="G819" t="str">
            <v>UPCoM</v>
          </cell>
          <cell r="H819">
            <v>726793818</v>
          </cell>
        </row>
        <row r="820">
          <cell r="D820" t="str">
            <v>MCI</v>
          </cell>
          <cell r="E820" t="str">
            <v>CTCP Đầu tư Xây dựng và Phát triển Vật liệu IDICO</v>
          </cell>
          <cell r="F820" t="str">
            <v>Xây dựng công nghiệp nặng và dân dụng</v>
          </cell>
          <cell r="G820" t="str">
            <v>UPCoM</v>
          </cell>
          <cell r="H820">
            <v>3500000</v>
          </cell>
        </row>
        <row r="821">
          <cell r="D821" t="str">
            <v>MCM</v>
          </cell>
          <cell r="E821" t="str">
            <v>CTCP Giống Bò sữa Mộc Châu</v>
          </cell>
          <cell r="F821" t="str">
            <v>Sản xuất thực phẩm</v>
          </cell>
          <cell r="G821" t="str">
            <v>UPCoM</v>
          </cell>
          <cell r="H821">
            <v>110000000</v>
          </cell>
        </row>
        <row r="822">
          <cell r="D822" t="str">
            <v>MCO</v>
          </cell>
          <cell r="E822" t="str">
            <v>CTCP Đầu tư và Xây dựng BDC Việt Nam</v>
          </cell>
          <cell r="F822" t="str">
            <v>Xây dựng công nghiệp nặng và dân dụng</v>
          </cell>
          <cell r="G822" t="str">
            <v>HNX</v>
          </cell>
          <cell r="H822">
            <v>4103929</v>
          </cell>
        </row>
        <row r="823">
          <cell r="D823" t="str">
            <v>MCP</v>
          </cell>
          <cell r="E823" t="str">
            <v>CTCP In và Bao bì Mỹ Châu</v>
          </cell>
          <cell r="F823" t="str">
            <v>Sản xuất sản phẩm kim loại tổng hợp</v>
          </cell>
          <cell r="G823" t="str">
            <v>HOSE</v>
          </cell>
          <cell r="H823">
            <v>15071337</v>
          </cell>
        </row>
        <row r="824">
          <cell r="D824" t="str">
            <v>MCT</v>
          </cell>
          <cell r="E824" t="str">
            <v>CTCP Kinh doanh Vật Tư và Xây dựng</v>
          </cell>
          <cell r="F824" t="str">
            <v>Sản xuất sản phẩm khoáng chất phi kim</v>
          </cell>
          <cell r="G824" t="str">
            <v>UPCoM</v>
          </cell>
          <cell r="H824">
            <v>2500000</v>
          </cell>
        </row>
        <row r="825">
          <cell r="D825" t="str">
            <v>MDA</v>
          </cell>
          <cell r="E825" t="str">
            <v>CTCP Môi trường Đô thị Đông Anh</v>
          </cell>
          <cell r="F825" t="str">
            <v>Dịch vụ quản lý và tái chế chất thải</v>
          </cell>
          <cell r="G825" t="str">
            <v>UPCoM</v>
          </cell>
          <cell r="H825">
            <v>1200000</v>
          </cell>
        </row>
        <row r="826">
          <cell r="D826" t="str">
            <v>MDC</v>
          </cell>
          <cell r="E826" t="str">
            <v>CTCP Than Mông Dương - Vinacomin</v>
          </cell>
          <cell r="F826" t="str">
            <v>Khai khoáng (ngoại trừ dầu mỏ và khí đốt)</v>
          </cell>
          <cell r="G826" t="str">
            <v>HNX</v>
          </cell>
          <cell r="H826">
            <v>21418346</v>
          </cell>
        </row>
        <row r="827">
          <cell r="D827" t="str">
            <v>MDF</v>
          </cell>
          <cell r="E827" t="str">
            <v>CTCP Gỗ MDF VRG - Quảng Trị</v>
          </cell>
          <cell r="F827" t="str">
            <v>Sản xuất các sản phẩm gỗ</v>
          </cell>
          <cell r="G827" t="str">
            <v>UPCoM</v>
          </cell>
          <cell r="H827">
            <v>55113595</v>
          </cell>
        </row>
        <row r="828">
          <cell r="D828" t="str">
            <v>MDG</v>
          </cell>
          <cell r="E828" t="str">
            <v>CTCP Miền Đông</v>
          </cell>
          <cell r="F828" t="str">
            <v>Khai khoáng (ngoại trừ dầu mỏ và khí đốt)</v>
          </cell>
          <cell r="G828" t="str">
            <v>HOSE</v>
          </cell>
          <cell r="H828">
            <v>10889031</v>
          </cell>
        </row>
        <row r="829">
          <cell r="D829" t="str">
            <v>MEC</v>
          </cell>
          <cell r="E829" t="str">
            <v>CTCP Cơ khí - Lắp máy Sông Đà</v>
          </cell>
          <cell r="F829" t="str">
            <v>Nhà thầu chuyên môn</v>
          </cell>
          <cell r="G829" t="str">
            <v>UPCoM</v>
          </cell>
          <cell r="H829">
            <v>8353620</v>
          </cell>
        </row>
        <row r="830">
          <cell r="D830" t="str">
            <v>MED</v>
          </cell>
          <cell r="E830" t="str">
            <v>CTCP Dược Trung ương Mediplantex</v>
          </cell>
          <cell r="F830" t="str">
            <v>Sản xuất hóa chất, dược phẩm</v>
          </cell>
          <cell r="G830" t="str">
            <v>HNX</v>
          </cell>
          <cell r="H830">
            <v>6280095</v>
          </cell>
        </row>
        <row r="831">
          <cell r="D831" t="str">
            <v>MEF</v>
          </cell>
          <cell r="E831" t="str">
            <v>CTCP MEINFA</v>
          </cell>
          <cell r="F831" t="str">
            <v>Sản xuất sản phẩm kim loại tổng hợp</v>
          </cell>
          <cell r="G831" t="str">
            <v>UPCoM</v>
          </cell>
          <cell r="H831">
            <v>3940522</v>
          </cell>
        </row>
        <row r="832">
          <cell r="D832" t="str">
            <v>MEG</v>
          </cell>
          <cell r="E832" t="str">
            <v>CTCP Megram</v>
          </cell>
          <cell r="F832" t="str">
            <v>Sản xuất trang thiết bị, dụng cụ điện</v>
          </cell>
          <cell r="G832" t="str">
            <v>UPCoM</v>
          </cell>
          <cell r="H832">
            <v>44000000</v>
          </cell>
        </row>
        <row r="833">
          <cell r="D833" t="str">
            <v>MEL</v>
          </cell>
          <cell r="E833" t="str">
            <v>CTCP Thép Mê Lin</v>
          </cell>
          <cell r="F833" t="str">
            <v>Bán buôn hàng lâu bền</v>
          </cell>
          <cell r="G833" t="str">
            <v>HNX</v>
          </cell>
          <cell r="H833">
            <v>15000000</v>
          </cell>
        </row>
        <row r="834">
          <cell r="D834" t="str">
            <v>MES</v>
          </cell>
          <cell r="E834" t="str">
            <v>CTCP Cơ điện Công trình</v>
          </cell>
          <cell r="F834" t="str">
            <v>Xây dựng công nghiệp nặng và dân dụng</v>
          </cell>
          <cell r="G834" t="str">
            <v>UPCoM</v>
          </cell>
          <cell r="H834">
            <v>18600000</v>
          </cell>
        </row>
        <row r="835">
          <cell r="D835" t="str">
            <v>MFS</v>
          </cell>
          <cell r="E835" t="str">
            <v>CTCP Dịch vụ Kỹ thuật Mobifone</v>
          </cell>
          <cell r="F835" t="str">
            <v>Các dịch vụ thông tin khác</v>
          </cell>
          <cell r="G835" t="str">
            <v>UPCoM</v>
          </cell>
          <cell r="H835">
            <v>7062979</v>
          </cell>
        </row>
        <row r="836">
          <cell r="D836" t="str">
            <v>MGC</v>
          </cell>
          <cell r="E836" t="str">
            <v>CTCP Địa chất mỏ - TKV</v>
          </cell>
          <cell r="F836" t="str">
            <v>Các hoạt động hỗ trợ Khai khoáng</v>
          </cell>
          <cell r="G836" t="str">
            <v>UPCoM</v>
          </cell>
          <cell r="H836">
            <v>10800000</v>
          </cell>
        </row>
        <row r="837">
          <cell r="D837" t="str">
            <v>MGG</v>
          </cell>
          <cell r="E837" t="str">
            <v>Tổng Công ty Đức Giang - CTCP</v>
          </cell>
          <cell r="F837" t="str">
            <v>Sản xuất các sản phẩm may mặc</v>
          </cell>
          <cell r="G837" t="str">
            <v>UPCoM</v>
          </cell>
          <cell r="H837">
            <v>8999622</v>
          </cell>
        </row>
        <row r="838">
          <cell r="D838" t="str">
            <v>MH3</v>
          </cell>
          <cell r="E838" t="str">
            <v>CTCP Khu Công nghiệp Cao su Bình Long</v>
          </cell>
          <cell r="F838" t="str">
            <v>Bất động sản</v>
          </cell>
          <cell r="G838" t="str">
            <v>UPCoM</v>
          </cell>
          <cell r="H838">
            <v>12000000</v>
          </cell>
        </row>
        <row r="839">
          <cell r="D839" t="str">
            <v>MHC</v>
          </cell>
          <cell r="E839" t="str">
            <v>CTCP MHC</v>
          </cell>
          <cell r="F839" t="str">
            <v>Vận tải đường thủy</v>
          </cell>
          <cell r="G839" t="str">
            <v>HOSE</v>
          </cell>
          <cell r="H839">
            <v>41406964</v>
          </cell>
        </row>
        <row r="840">
          <cell r="D840" t="str">
            <v>MHL</v>
          </cell>
          <cell r="E840" t="str">
            <v>CTCP Minh Hữu Liên</v>
          </cell>
          <cell r="F840" t="str">
            <v>Sản xuất trang thiết bị nội thất và sản phẩm liên quan</v>
          </cell>
          <cell r="G840" t="str">
            <v>HNX</v>
          </cell>
          <cell r="H840">
            <v>5430923</v>
          </cell>
        </row>
        <row r="841">
          <cell r="D841" t="str">
            <v>MHP</v>
          </cell>
          <cell r="E841" t="str">
            <v>CTCP Môi trường và Dịch vụ Đô thị Việt Trì</v>
          </cell>
          <cell r="F841" t="str">
            <v>Dịch vụ quản lý và tái chế chất thải</v>
          </cell>
          <cell r="G841" t="str">
            <v>UPCoM</v>
          </cell>
          <cell r="H841">
            <v>3583140</v>
          </cell>
        </row>
        <row r="842">
          <cell r="D842" t="str">
            <v>MHY</v>
          </cell>
          <cell r="E842" t="str">
            <v>CTCP Môi trường và Công trình Đô thị Hưng Yên</v>
          </cell>
          <cell r="F842" t="str">
            <v>Kiến trúc, tư vấn xây dựng và dịch vụ liên quan</v>
          </cell>
          <cell r="G842" t="str">
            <v>UPCoM</v>
          </cell>
          <cell r="H842">
            <v>31800</v>
          </cell>
        </row>
        <row r="843">
          <cell r="D843" t="str">
            <v>MIC</v>
          </cell>
          <cell r="E843" t="str">
            <v>CTCP Kỹ nghệ Khoáng sản Quảng Nam</v>
          </cell>
          <cell r="F843" t="str">
            <v>Khai khoáng (ngoại trừ dầu mỏ và khí đốt)</v>
          </cell>
          <cell r="G843" t="str">
            <v>UPCoM</v>
          </cell>
          <cell r="H843">
            <v>5544946</v>
          </cell>
        </row>
        <row r="844">
          <cell r="D844" t="str">
            <v>MIE</v>
          </cell>
          <cell r="E844" t="str">
            <v>Tổng Công ty Máy và Thiết bị Công nghiệp - CTCP</v>
          </cell>
          <cell r="F844" t="str">
            <v>Sản xuất thiết bị, máy móc</v>
          </cell>
          <cell r="G844" t="str">
            <v>UPCoM</v>
          </cell>
          <cell r="H844">
            <v>141991500</v>
          </cell>
        </row>
        <row r="845">
          <cell r="D845" t="str">
            <v>MIG</v>
          </cell>
          <cell r="E845" t="str">
            <v>Tổng Công ty cổ phần Bảo hiểm Quân Đội</v>
          </cell>
          <cell r="F845" t="str">
            <v>Bảo hiểm và các hoạt động liên quan</v>
          </cell>
          <cell r="G845" t="str">
            <v>HOSE</v>
          </cell>
          <cell r="H845">
            <v>143000000</v>
          </cell>
        </row>
        <row r="846">
          <cell r="D846" t="str">
            <v>MIM</v>
          </cell>
          <cell r="E846" t="str">
            <v>CTCP Khoáng sản và Cơ khí</v>
          </cell>
          <cell r="F846" t="str">
            <v>Khai khoáng (ngoại trừ dầu mỏ và khí đốt)</v>
          </cell>
          <cell r="G846" t="str">
            <v>HNX</v>
          </cell>
          <cell r="H846">
            <v>3409860</v>
          </cell>
        </row>
        <row r="847">
          <cell r="D847" t="str">
            <v>MKP</v>
          </cell>
          <cell r="E847" t="str">
            <v>CTCP Hoá - Dược phẩm Mekophar</v>
          </cell>
          <cell r="F847" t="str">
            <v>Sản xuất hóa chất, dược phẩm</v>
          </cell>
          <cell r="G847" t="str">
            <v>UPCoM</v>
          </cell>
          <cell r="H847">
            <v>25545867</v>
          </cell>
        </row>
        <row r="848">
          <cell r="D848" t="str">
            <v>MKV</v>
          </cell>
          <cell r="E848" t="str">
            <v>CTCP Dược thú Y Cai Lậy</v>
          </cell>
          <cell r="F848" t="str">
            <v>Sản xuất hóa chất, dược phẩm</v>
          </cell>
          <cell r="G848" t="str">
            <v>HNX</v>
          </cell>
          <cell r="H848">
            <v>5000038</v>
          </cell>
        </row>
        <row r="849">
          <cell r="D849" t="str">
            <v>MLC</v>
          </cell>
          <cell r="E849" t="str">
            <v>CTCP Môi trường Đô thị Tỉnh Lào Cai</v>
          </cell>
          <cell r="F849" t="str">
            <v>Dịch vụ quản lý và tái chế chất thải</v>
          </cell>
          <cell r="G849" t="str">
            <v>UPCoM</v>
          </cell>
          <cell r="H849">
            <v>4171175</v>
          </cell>
        </row>
        <row r="850">
          <cell r="D850" t="str">
            <v>MLS</v>
          </cell>
          <cell r="E850" t="str">
            <v>CTCP Chăn nuôi - Mitraco</v>
          </cell>
          <cell r="F850" t="str">
            <v>Chăn nuôi</v>
          </cell>
          <cell r="G850" t="str">
            <v>UPCoM</v>
          </cell>
          <cell r="H850">
            <v>4000000</v>
          </cell>
        </row>
        <row r="851">
          <cell r="D851" t="str">
            <v>MML</v>
          </cell>
          <cell r="E851" t="str">
            <v>CTCP Masan MeatLife</v>
          </cell>
          <cell r="F851" t="str">
            <v>Sản xuất thực phẩm</v>
          </cell>
          <cell r="G851" t="str">
            <v>UPCoM</v>
          </cell>
          <cell r="H851">
            <v>326714847</v>
          </cell>
        </row>
        <row r="852">
          <cell r="D852" t="str">
            <v>MNB</v>
          </cell>
          <cell r="E852" t="str">
            <v>Tổng Công ty May Nhà Bè - CTCP</v>
          </cell>
          <cell r="F852" t="str">
            <v>Sản xuất các sản phẩm may mặc</v>
          </cell>
          <cell r="G852" t="str">
            <v>UPCoM</v>
          </cell>
          <cell r="H852">
            <v>18200000</v>
          </cell>
        </row>
        <row r="853">
          <cell r="D853" t="str">
            <v>MND</v>
          </cell>
          <cell r="E853" t="str">
            <v>CTCP Môi trường Nam Định</v>
          </cell>
          <cell r="F853" t="str">
            <v>Dịch vụ quản lý và tái chế chất thải</v>
          </cell>
          <cell r="G853" t="str">
            <v>UPCoM</v>
          </cell>
          <cell r="H853">
            <v>2194475</v>
          </cell>
        </row>
        <row r="854">
          <cell r="D854" t="str">
            <v>MPC</v>
          </cell>
          <cell r="E854" t="str">
            <v>CTCP Tập đoàn Thủy sản Minh Phú</v>
          </cell>
          <cell r="F854" t="str">
            <v>Sản xuất thực phẩm</v>
          </cell>
          <cell r="G854" t="str">
            <v>UPCoM</v>
          </cell>
          <cell r="H854">
            <v>200000000</v>
          </cell>
        </row>
        <row r="855">
          <cell r="D855" t="str">
            <v>MPT</v>
          </cell>
          <cell r="E855" t="str">
            <v>CTCP Tập đoàn Trường Tiền</v>
          </cell>
          <cell r="F855" t="str">
            <v>Sản xuất các sản phẩm may mặc</v>
          </cell>
          <cell r="G855" t="str">
            <v>UPCoM</v>
          </cell>
          <cell r="H855">
            <v>17107164</v>
          </cell>
        </row>
        <row r="856">
          <cell r="D856" t="str">
            <v>MPY</v>
          </cell>
          <cell r="E856" t="str">
            <v>CTCP Môi trường Đô thị Phú Yên</v>
          </cell>
          <cell r="F856" t="str">
            <v>Dịch vụ quản lý và tái chế chất thải</v>
          </cell>
          <cell r="G856" t="str">
            <v>UPCoM</v>
          </cell>
          <cell r="H856"/>
        </row>
        <row r="857">
          <cell r="D857" t="str">
            <v>MQB</v>
          </cell>
          <cell r="E857" t="str">
            <v>CTCP Môi trường và Phát triển Đô thị Quảng Bình</v>
          </cell>
          <cell r="F857" t="str">
            <v>Dịch vụ quản lý và tái chế chất thải</v>
          </cell>
          <cell r="G857" t="str">
            <v>UPCoM</v>
          </cell>
          <cell r="H857">
            <v>3675675</v>
          </cell>
        </row>
        <row r="858">
          <cell r="D858" t="str">
            <v>MQN</v>
          </cell>
          <cell r="E858" t="str">
            <v>CTCP Môi trường đô thị Quảng Ngãi</v>
          </cell>
          <cell r="F858" t="str">
            <v>Dịch vụ quản lý và tái chế chất thải</v>
          </cell>
          <cell r="G858" t="str">
            <v>UPCoM</v>
          </cell>
          <cell r="H858">
            <v>3060353</v>
          </cell>
        </row>
        <row r="859">
          <cell r="D859" t="str">
            <v>MRF</v>
          </cell>
          <cell r="E859" t="str">
            <v>CTCP Merufa</v>
          </cell>
          <cell r="F859" t="str">
            <v>Sản xuất các sản phẩm nhựa và cao su</v>
          </cell>
          <cell r="G859" t="str">
            <v>UPCoM</v>
          </cell>
          <cell r="H859">
            <v>3675404</v>
          </cell>
        </row>
        <row r="860">
          <cell r="D860" t="str">
            <v>MSB</v>
          </cell>
          <cell r="E860" t="str">
            <v>Ngân hàng TMCP Hàng hải Việt Nam</v>
          </cell>
          <cell r="F860" t="str">
            <v>Trung gian tín dụng và các hoạt động liên quan</v>
          </cell>
          <cell r="G860" t="str">
            <v>HOSE</v>
          </cell>
          <cell r="H860">
            <v>1175000000</v>
          </cell>
        </row>
        <row r="861">
          <cell r="D861" t="str">
            <v>MSH</v>
          </cell>
          <cell r="E861" t="str">
            <v>CTCP May Sông Hồng</v>
          </cell>
          <cell r="F861" t="str">
            <v>Sản xuất các sản phẩm may mặc</v>
          </cell>
          <cell r="G861" t="str">
            <v>HOSE</v>
          </cell>
          <cell r="H861">
            <v>50009400</v>
          </cell>
        </row>
        <row r="862">
          <cell r="D862" t="str">
            <v>MSN</v>
          </cell>
          <cell r="E862" t="str">
            <v>CTCP Tập đoàn Masan</v>
          </cell>
          <cell r="F862" t="str">
            <v>Sản xuất thực phẩm</v>
          </cell>
          <cell r="G862" t="str">
            <v>HOSE</v>
          </cell>
          <cell r="H862">
            <v>1180534692</v>
          </cell>
        </row>
        <row r="863">
          <cell r="D863" t="str">
            <v>MSR</v>
          </cell>
          <cell r="E863" t="str">
            <v>CTCP Masan High-Tech Materials</v>
          </cell>
          <cell r="F863" t="str">
            <v>Các hoạt động hỗ trợ Khai khoáng</v>
          </cell>
          <cell r="G863" t="str">
            <v>UPCoM</v>
          </cell>
          <cell r="H863">
            <v>1099155420</v>
          </cell>
        </row>
        <row r="864">
          <cell r="D864" t="str">
            <v>MST</v>
          </cell>
          <cell r="E864" t="str">
            <v>CTCP Đầu tư MST</v>
          </cell>
          <cell r="F864" t="str">
            <v>Xây dựng công nghiệp nặng và dân dụng</v>
          </cell>
          <cell r="G864" t="str">
            <v>HNX</v>
          </cell>
          <cell r="H864">
            <v>35519986</v>
          </cell>
        </row>
        <row r="865">
          <cell r="D865" t="str">
            <v>MTA</v>
          </cell>
          <cell r="E865" t="str">
            <v>Tổng Công ty Khoáng sản và Thương mại Hà Tĩnh - CTCP</v>
          </cell>
          <cell r="F865" t="str">
            <v>Khai khoáng (ngoại trừ dầu mỏ và khí đốt)</v>
          </cell>
          <cell r="G865" t="str">
            <v>UPCoM</v>
          </cell>
          <cell r="H865">
            <v>110113591</v>
          </cell>
        </row>
        <row r="866">
          <cell r="D866" t="str">
            <v>MTB</v>
          </cell>
          <cell r="E866" t="str">
            <v>CTCP Môi trường và Công trình Đô thị Tỉnh Thái Bình</v>
          </cell>
          <cell r="F866" t="str">
            <v>Dịch vụ quản lý và tái chế chất thải</v>
          </cell>
          <cell r="G866" t="str">
            <v>UPCoM</v>
          </cell>
          <cell r="H866">
            <v>6278259</v>
          </cell>
        </row>
        <row r="867">
          <cell r="D867" t="str">
            <v>MTC</v>
          </cell>
          <cell r="E867" t="str">
            <v>CTCP Dịch vụ Du lịch Mỹ Trà</v>
          </cell>
          <cell r="F867" t="str">
            <v>Dịch vụ ăn uống</v>
          </cell>
          <cell r="G867" t="str">
            <v>UPCoM</v>
          </cell>
          <cell r="H867">
            <v>5200000</v>
          </cell>
        </row>
        <row r="868">
          <cell r="D868" t="str">
            <v>MTG</v>
          </cell>
          <cell r="E868" t="str">
            <v>CTCP MT Gas</v>
          </cell>
          <cell r="F868" t="str">
            <v>Phân phối khí đốt thiên nhiên</v>
          </cell>
          <cell r="G868" t="str">
            <v>UPCoM</v>
          </cell>
          <cell r="H868">
            <v>6300000</v>
          </cell>
        </row>
        <row r="869">
          <cell r="D869" t="str">
            <v>MTH</v>
          </cell>
          <cell r="E869" t="str">
            <v>CTCP Môi trường Đô thị Hà Đông</v>
          </cell>
          <cell r="F869" t="str">
            <v>Dịch vụ quản lý và tái chế chất thải</v>
          </cell>
          <cell r="G869" t="str">
            <v>UPCoM</v>
          </cell>
          <cell r="H869">
            <v>4787910</v>
          </cell>
        </row>
        <row r="870">
          <cell r="D870" t="str">
            <v>MTL</v>
          </cell>
          <cell r="E870" t="str">
            <v>CTCP Dịch vụ Môi trường Đô thị Từ Liêm</v>
          </cell>
          <cell r="F870" t="str">
            <v>Nước, chất thải và các hệ thống khác</v>
          </cell>
          <cell r="G870" t="str">
            <v>UPCoM</v>
          </cell>
          <cell r="H870">
            <v>6000000</v>
          </cell>
        </row>
        <row r="871">
          <cell r="D871" t="str">
            <v>MTM</v>
          </cell>
          <cell r="E871" t="str">
            <v>CTCP mỏ và Xuất nhập khẩu Khoáng sản Miền Trung</v>
          </cell>
          <cell r="F871" t="str">
            <v>Khai khoáng (ngoại trừ dầu mỏ và khí đốt)</v>
          </cell>
          <cell r="G871" t="str">
            <v>UPCoM</v>
          </cell>
          <cell r="H871">
            <v>31000000</v>
          </cell>
        </row>
        <row r="872">
          <cell r="D872" t="str">
            <v>MTP</v>
          </cell>
          <cell r="E872" t="str">
            <v>CTCP Dược Medipharco</v>
          </cell>
          <cell r="F872" t="str">
            <v>Sản xuất hóa chất, dược phẩm</v>
          </cell>
          <cell r="G872" t="str">
            <v>UPCoM</v>
          </cell>
          <cell r="H872">
            <v>6598367</v>
          </cell>
        </row>
        <row r="873">
          <cell r="D873" t="str">
            <v>MTS</v>
          </cell>
          <cell r="E873" t="str">
            <v>CTCP Vật tư - TKV</v>
          </cell>
          <cell r="F873" t="str">
            <v>Bán buôn hàng lâu bền</v>
          </cell>
          <cell r="G873" t="str">
            <v>UPCoM</v>
          </cell>
          <cell r="H873">
            <v>15000000</v>
          </cell>
        </row>
        <row r="874">
          <cell r="D874" t="str">
            <v>MTV</v>
          </cell>
          <cell r="E874" t="str">
            <v>CTCP Dịch vụ Môi trường và Công trình Đô thị Vũng Tàu</v>
          </cell>
          <cell r="F874" t="str">
            <v>Dịch vụ quản lý và tái chế chất thải</v>
          </cell>
          <cell r="G874" t="str">
            <v>UPCoM</v>
          </cell>
          <cell r="H874">
            <v>5400000</v>
          </cell>
        </row>
        <row r="875">
          <cell r="D875" t="str">
            <v>MVB</v>
          </cell>
          <cell r="E875" t="str">
            <v>Tổng Công ty Công nghiệp mỏ Việt Bắc TKV - CTCP</v>
          </cell>
          <cell r="F875" t="str">
            <v>Khai khoáng (ngoại trừ dầu mỏ và khí đốt)</v>
          </cell>
          <cell r="G875" t="str">
            <v>HNX</v>
          </cell>
          <cell r="H875">
            <v>105000000</v>
          </cell>
        </row>
        <row r="876">
          <cell r="D876" t="str">
            <v>MVC</v>
          </cell>
          <cell r="E876" t="str">
            <v>CTCP Vật liệu và Xây dựng Bình Dương</v>
          </cell>
          <cell r="F876" t="str">
            <v>Bán buôn hàng lâu bền</v>
          </cell>
          <cell r="G876" t="str">
            <v>UPCoM</v>
          </cell>
          <cell r="H876">
            <v>100000000</v>
          </cell>
        </row>
        <row r="877">
          <cell r="D877" t="str">
            <v>MVN</v>
          </cell>
          <cell r="E877" t="str">
            <v>Tổng Công ty Hàng hải Việt Nam - CTCP</v>
          </cell>
          <cell r="F877" t="str">
            <v>Hỗ trợ vận tải</v>
          </cell>
          <cell r="G877" t="str">
            <v>UPCoM</v>
          </cell>
          <cell r="H877">
            <v>5420900</v>
          </cell>
        </row>
        <row r="878">
          <cell r="D878" t="str">
            <v>MWG</v>
          </cell>
          <cell r="E878" t="str">
            <v>CTCP Đầu tư Thế giới Di động</v>
          </cell>
          <cell r="F878" t="str">
            <v>Cửa hàng thiết bị điện tử gia đình</v>
          </cell>
          <cell r="G878" t="str">
            <v>HOSE</v>
          </cell>
          <cell r="H878">
            <v>475431197</v>
          </cell>
        </row>
        <row r="879">
          <cell r="D879" t="str">
            <v>MXC</v>
          </cell>
          <cell r="E879" t="str">
            <v>Trung tâm Nông nghiệp Mùa Xuân</v>
          </cell>
          <cell r="F879" t="str">
            <v>Trồng rừng và khai thác gỗ</v>
          </cell>
          <cell r="G879" t="str">
            <v>UPCoM</v>
          </cell>
          <cell r="H879">
            <v>700938</v>
          </cell>
        </row>
        <row r="880">
          <cell r="D880" t="str">
            <v>NAB</v>
          </cell>
          <cell r="E880" t="str">
            <v>Ngân hàng TMCP Nam Á</v>
          </cell>
          <cell r="F880" t="str">
            <v>Trung gian tín dụng và các hoạt động liên quan</v>
          </cell>
          <cell r="G880" t="str">
            <v>UPCoM</v>
          </cell>
          <cell r="H880">
            <v>456446843</v>
          </cell>
        </row>
        <row r="881">
          <cell r="D881" t="str">
            <v>NAC</v>
          </cell>
          <cell r="E881" t="str">
            <v>CTCP Tư vấn Xây dựng Tổng hợp</v>
          </cell>
          <cell r="F881" t="str">
            <v>Dịch vụ thiết kế chuyên biệt</v>
          </cell>
          <cell r="G881" t="str">
            <v>UPCoM</v>
          </cell>
          <cell r="H881">
            <v>2835000</v>
          </cell>
        </row>
        <row r="882">
          <cell r="D882" t="str">
            <v>NAF</v>
          </cell>
          <cell r="E882" t="str">
            <v>CTCP Nafoods Group</v>
          </cell>
          <cell r="F882" t="str">
            <v>Sản xuất thực phẩm</v>
          </cell>
          <cell r="G882" t="str">
            <v>HOSE</v>
          </cell>
          <cell r="H882">
            <v>47567852</v>
          </cell>
        </row>
        <row r="883">
          <cell r="D883" t="str">
            <v>NAG</v>
          </cell>
          <cell r="E883" t="str">
            <v>CTCP Tập đoàn Nagakawa</v>
          </cell>
          <cell r="F883" t="str">
            <v>Sản xuất thiết bị, máy móc</v>
          </cell>
          <cell r="G883" t="str">
            <v>HNX</v>
          </cell>
          <cell r="H883">
            <v>15888636</v>
          </cell>
        </row>
        <row r="884">
          <cell r="D884" t="str">
            <v>NAP</v>
          </cell>
          <cell r="E884" t="str">
            <v>CTCP Cảng Nghệ Tĩnh</v>
          </cell>
          <cell r="F884" t="str">
            <v>Hỗ trợ vận tải</v>
          </cell>
          <cell r="G884" t="str">
            <v>HNX</v>
          </cell>
          <cell r="H884">
            <v>21517200</v>
          </cell>
        </row>
        <row r="885">
          <cell r="D885" t="str">
            <v>NAS</v>
          </cell>
          <cell r="E885" t="str">
            <v>CTCP Dịch vụ Hàng không Sân bay Nội Bài</v>
          </cell>
          <cell r="F885" t="str">
            <v>Hỗ trợ vận tải</v>
          </cell>
          <cell r="G885" t="str">
            <v>UPCoM</v>
          </cell>
          <cell r="H885">
            <v>8315764</v>
          </cell>
        </row>
        <row r="886">
          <cell r="D886" t="str">
            <v>NAU</v>
          </cell>
          <cell r="E886" t="str">
            <v>CTCP Môi trường Đô thị Nghệ An</v>
          </cell>
          <cell r="F886" t="str">
            <v>Dịch vụ quản lý và tái chế chất thải</v>
          </cell>
          <cell r="G886" t="str">
            <v>UPCoM</v>
          </cell>
          <cell r="H886">
            <v>3669999</v>
          </cell>
        </row>
        <row r="887">
          <cell r="D887" t="str">
            <v>NAV</v>
          </cell>
          <cell r="E887" t="str">
            <v>CTCP Nam Việt</v>
          </cell>
          <cell r="F887" t="str">
            <v>Kinh doanh vật liệu xây dựng, trang thiết bị làm vườn</v>
          </cell>
          <cell r="G887" t="str">
            <v>HOSE</v>
          </cell>
          <cell r="H887">
            <v>8000000</v>
          </cell>
        </row>
        <row r="888">
          <cell r="D888" t="str">
            <v>NAW</v>
          </cell>
          <cell r="E888" t="str">
            <v>CTCP Cấp nước Nghệ An</v>
          </cell>
          <cell r="F888" t="str">
            <v>Nước, chất thải và các hệ thống khác</v>
          </cell>
          <cell r="G888" t="str">
            <v>UPCoM</v>
          </cell>
          <cell r="H888">
            <v>37385983</v>
          </cell>
        </row>
        <row r="889">
          <cell r="D889" t="str">
            <v>NBB</v>
          </cell>
          <cell r="E889" t="str">
            <v>CTCP Đầu tư Năm Bảy Bảy</v>
          </cell>
          <cell r="F889" t="str">
            <v>Phát triển bất động sản</v>
          </cell>
          <cell r="G889" t="str">
            <v>HOSE</v>
          </cell>
          <cell r="H889">
            <v>100475656</v>
          </cell>
        </row>
        <row r="890">
          <cell r="D890" t="str">
            <v>NBC</v>
          </cell>
          <cell r="E890" t="str">
            <v>CTCP Than Núi Béo - Vinacomin</v>
          </cell>
          <cell r="F890" t="str">
            <v>Khai khoáng (ngoại trừ dầu mỏ và khí đốt)</v>
          </cell>
          <cell r="G890" t="str">
            <v>HNX</v>
          </cell>
          <cell r="H890">
            <v>36999124</v>
          </cell>
        </row>
        <row r="891">
          <cell r="D891" t="str">
            <v>NBE</v>
          </cell>
          <cell r="E891" t="str">
            <v>CTCP Sách và Thiết bị Giáo dục Miền Bắc</v>
          </cell>
          <cell r="F891" t="str">
            <v>Công nghiệp xuất bản - Ngoại trừ internet</v>
          </cell>
          <cell r="G891" t="str">
            <v>UPCoM</v>
          </cell>
          <cell r="H891">
            <v>5000000</v>
          </cell>
        </row>
        <row r="892">
          <cell r="D892" t="str">
            <v>NBP</v>
          </cell>
          <cell r="E892" t="str">
            <v>CTCP Nhiệt điện Ninh Bình</v>
          </cell>
          <cell r="F892" t="str">
            <v>Phát, truyền tải và phân phối điện năng</v>
          </cell>
          <cell r="G892" t="str">
            <v>HNX</v>
          </cell>
          <cell r="H892">
            <v>12865500</v>
          </cell>
        </row>
        <row r="893">
          <cell r="D893" t="str">
            <v>NBT</v>
          </cell>
          <cell r="E893" t="str">
            <v>CTCP Cấp thoát nước Bến Tre</v>
          </cell>
          <cell r="F893" t="str">
            <v>Nước, chất thải và các hệ thống khác</v>
          </cell>
          <cell r="G893" t="str">
            <v>UPCoM</v>
          </cell>
          <cell r="H893">
            <v>29400000</v>
          </cell>
        </row>
        <row r="894">
          <cell r="D894" t="str">
            <v>NBW</v>
          </cell>
          <cell r="E894" t="str">
            <v>CTCP Cấp nước Nhà Bè</v>
          </cell>
          <cell r="F894" t="str">
            <v>Nước, chất thải và các hệ thống khác</v>
          </cell>
          <cell r="G894" t="str">
            <v>HNX</v>
          </cell>
          <cell r="H894">
            <v>10900000</v>
          </cell>
        </row>
        <row r="895">
          <cell r="D895" t="str">
            <v>NCP</v>
          </cell>
          <cell r="E895" t="str">
            <v>CTCP Nhiệt điện Cẩm Phả - TKV</v>
          </cell>
          <cell r="F895" t="str">
            <v>Phát, truyền tải và phân phối điện năng</v>
          </cell>
          <cell r="G895" t="str">
            <v>UPCoM</v>
          </cell>
          <cell r="H895">
            <v>196980622</v>
          </cell>
        </row>
        <row r="896">
          <cell r="D896" t="str">
            <v>NCS</v>
          </cell>
          <cell r="E896" t="str">
            <v>CTCP Suất ăn Hàng không Nội Bài</v>
          </cell>
          <cell r="F896" t="str">
            <v>Hỗ trợ vận tải</v>
          </cell>
          <cell r="G896" t="str">
            <v>UPCoM</v>
          </cell>
          <cell r="H896">
            <v>17949098</v>
          </cell>
        </row>
        <row r="897">
          <cell r="D897" t="str">
            <v>NCT</v>
          </cell>
          <cell r="E897" t="str">
            <v>CTCP Dịch vụ Hàng hóa Nội Bài</v>
          </cell>
          <cell r="F897" t="str">
            <v>Hỗ trợ vận tải</v>
          </cell>
          <cell r="G897" t="str">
            <v>HOSE</v>
          </cell>
          <cell r="H897">
            <v>26166940</v>
          </cell>
        </row>
        <row r="898">
          <cell r="D898" t="str">
            <v>ND2</v>
          </cell>
          <cell r="E898" t="str">
            <v>CTCP Đầu tư và Phát triển Điện Miền Bắc 2</v>
          </cell>
          <cell r="F898" t="str">
            <v>Xây dựng nhà cửa, cao ốc</v>
          </cell>
          <cell r="G898" t="str">
            <v>UPCoM</v>
          </cell>
          <cell r="H898">
            <v>49993960</v>
          </cell>
        </row>
        <row r="899">
          <cell r="D899" t="str">
            <v>NDC</v>
          </cell>
          <cell r="E899" t="str">
            <v>CTCP Nam Dược</v>
          </cell>
          <cell r="F899" t="str">
            <v>Sản xuất hóa chất, dược phẩm</v>
          </cell>
          <cell r="G899" t="str">
            <v>UPCoM</v>
          </cell>
          <cell r="H899">
            <v>5964000</v>
          </cell>
        </row>
        <row r="900">
          <cell r="D900" t="str">
            <v>NDF</v>
          </cell>
          <cell r="E900" t="str">
            <v>CTCP Chế biến Thực phẩm Nông sản xuất khẩu Nam Định</v>
          </cell>
          <cell r="F900" t="str">
            <v>Sản xuất thực phẩm</v>
          </cell>
          <cell r="G900" t="str">
            <v>UPCoM</v>
          </cell>
          <cell r="H900">
            <v>7853800</v>
          </cell>
        </row>
        <row r="901">
          <cell r="D901" t="str">
            <v>NDN</v>
          </cell>
          <cell r="E901" t="str">
            <v>CTCP Đầu tư Phát triển Nhà Đà Nẵng</v>
          </cell>
          <cell r="F901" t="str">
            <v>Phát triển bất động sản</v>
          </cell>
          <cell r="G901" t="str">
            <v>HNX</v>
          </cell>
          <cell r="H901">
            <v>62311555</v>
          </cell>
        </row>
        <row r="902">
          <cell r="D902" t="str">
            <v>NDP</v>
          </cell>
          <cell r="E902" t="str">
            <v>CTCP Dược phẩm 2/9</v>
          </cell>
          <cell r="F902" t="str">
            <v>Sản xuất hóa chất, dược phẩm</v>
          </cell>
          <cell r="G902" t="str">
            <v>UPCoM</v>
          </cell>
          <cell r="H902">
            <v>11100000</v>
          </cell>
        </row>
        <row r="903">
          <cell r="D903" t="str">
            <v>NDT</v>
          </cell>
          <cell r="E903" t="str">
            <v>Tổng Công ty cổ phần Dệt May Nam Định</v>
          </cell>
          <cell r="F903" t="str">
            <v>Sản xuất các sản phẩm dệt</v>
          </cell>
          <cell r="G903" t="str">
            <v>UPCoM</v>
          </cell>
          <cell r="H903">
            <v>13600000</v>
          </cell>
        </row>
        <row r="904">
          <cell r="D904" t="str">
            <v>NDW</v>
          </cell>
          <cell r="E904" t="str">
            <v>CTCP Cấp nước Nam Định</v>
          </cell>
          <cell r="F904" t="str">
            <v>Nước, chất thải và các hệ thống khác</v>
          </cell>
          <cell r="G904" t="str">
            <v>UPCoM</v>
          </cell>
          <cell r="H904">
            <v>34311748</v>
          </cell>
        </row>
        <row r="905">
          <cell r="D905" t="str">
            <v>NDX</v>
          </cell>
          <cell r="E905" t="str">
            <v>CTCP Xây lắp Phát triển Nhà Đà Nẵng</v>
          </cell>
          <cell r="F905" t="str">
            <v>Xây dựng nhà cửa, cao ốc</v>
          </cell>
          <cell r="G905" t="str">
            <v>HNX</v>
          </cell>
          <cell r="H905">
            <v>6087557</v>
          </cell>
        </row>
        <row r="906">
          <cell r="D906" t="str">
            <v>NED</v>
          </cell>
          <cell r="E906" t="str">
            <v>CTCP Đầu tư và Phát triển Điện Tây Bắc</v>
          </cell>
          <cell r="F906" t="str">
            <v>Phát, truyền tải và phân phối điện năng</v>
          </cell>
          <cell r="G906" t="str">
            <v>UPCoM</v>
          </cell>
          <cell r="H906"/>
        </row>
        <row r="907">
          <cell r="D907" t="str">
            <v>NET</v>
          </cell>
          <cell r="E907" t="str">
            <v>CTCP Bột giặt NET</v>
          </cell>
          <cell r="F907" t="str">
            <v>Sản xuất hóa chất, dược phẩm</v>
          </cell>
          <cell r="G907" t="str">
            <v>HNX</v>
          </cell>
          <cell r="H907">
            <v>22398374</v>
          </cell>
        </row>
        <row r="908">
          <cell r="D908" t="str">
            <v>NFC</v>
          </cell>
          <cell r="E908" t="str">
            <v>CTCP Phân lân Ninh Bình</v>
          </cell>
          <cell r="F908" t="str">
            <v>Sản xuất hóa chất, dược phẩm</v>
          </cell>
          <cell r="G908" t="str">
            <v>HNX</v>
          </cell>
          <cell r="H908">
            <v>15731260</v>
          </cell>
        </row>
        <row r="909">
          <cell r="D909" t="str">
            <v>NGC</v>
          </cell>
          <cell r="E909" t="str">
            <v>CTCP Chế biến Thủy sản xuất khẩu Ngô Quyền</v>
          </cell>
          <cell r="F909" t="str">
            <v>Sản xuất thực phẩm</v>
          </cell>
          <cell r="G909" t="str">
            <v>UPCoM</v>
          </cell>
          <cell r="H909">
            <v>2299854</v>
          </cell>
        </row>
        <row r="910">
          <cell r="D910" t="str">
            <v>NHA</v>
          </cell>
          <cell r="E910" t="str">
            <v>Tổng Công ty Đầu tư Phát triển Nhà và Đô thị Nam Hà Nội</v>
          </cell>
          <cell r="F910" t="str">
            <v>Phát triển bất động sản</v>
          </cell>
          <cell r="G910" t="str">
            <v>HOSE</v>
          </cell>
          <cell r="H910">
            <v>28116550</v>
          </cell>
        </row>
        <row r="911">
          <cell r="D911" t="str">
            <v>NHC</v>
          </cell>
          <cell r="E911" t="str">
            <v>CTCP Gạch ngói Nhị Hiệp</v>
          </cell>
          <cell r="F911" t="str">
            <v>Sản xuất sản phẩm khoáng chất phi kim</v>
          </cell>
          <cell r="G911" t="str">
            <v>HNX</v>
          </cell>
          <cell r="H911">
            <v>3041542</v>
          </cell>
        </row>
        <row r="912">
          <cell r="D912" t="str">
            <v>NHH</v>
          </cell>
          <cell r="E912" t="str">
            <v>CTCP Nhựa Hà Nội</v>
          </cell>
          <cell r="F912" t="str">
            <v>Sản xuất thiết bị, máy móc</v>
          </cell>
          <cell r="G912" t="str">
            <v>HOSE</v>
          </cell>
          <cell r="H912">
            <v>36440000</v>
          </cell>
        </row>
        <row r="913">
          <cell r="D913" t="str">
            <v>NHP</v>
          </cell>
          <cell r="E913" t="str">
            <v>CTCP Sản xuất Xuất nhập khẩu NHP</v>
          </cell>
          <cell r="F913" t="str">
            <v>Sản xuất các sản phẩm nhựa và cao su</v>
          </cell>
          <cell r="G913" t="str">
            <v>UPCoM</v>
          </cell>
          <cell r="H913">
            <v>27576490</v>
          </cell>
        </row>
        <row r="914">
          <cell r="D914" t="str">
            <v>NHT</v>
          </cell>
          <cell r="E914" t="str">
            <v>CTCP Sản xuất và Thương mại Nam Hoa</v>
          </cell>
          <cell r="F914" t="str">
            <v>Sản xuất các sản phẩm gỗ</v>
          </cell>
          <cell r="G914" t="str">
            <v>UPCoM</v>
          </cell>
          <cell r="H914">
            <v>15411541</v>
          </cell>
        </row>
        <row r="915">
          <cell r="D915" t="str">
            <v>NHV</v>
          </cell>
          <cell r="E915" t="str">
            <v>CTCP Đầu tư NHV</v>
          </cell>
          <cell r="F915" t="str">
            <v>Bán buôn hàng tiêu dùng</v>
          </cell>
          <cell r="G915" t="str">
            <v>UPCoM</v>
          </cell>
          <cell r="H915">
            <v>3223600</v>
          </cell>
        </row>
        <row r="916">
          <cell r="D916" t="str">
            <v>NJC</v>
          </cell>
          <cell r="E916" t="str">
            <v>CTCP May Nam Định</v>
          </cell>
          <cell r="F916" t="str">
            <v>Sản xuất các sản phẩm may mặc</v>
          </cell>
          <cell r="G916" t="str">
            <v>UPCoM</v>
          </cell>
          <cell r="H916">
            <v>3000000</v>
          </cell>
        </row>
        <row r="917">
          <cell r="D917" t="str">
            <v>NKG</v>
          </cell>
          <cell r="E917" t="str">
            <v>CTCP Thép Nam Kim</v>
          </cell>
          <cell r="F917" t="str">
            <v>Sản xuất các sản phẩm kim loại cơ bản</v>
          </cell>
          <cell r="G917" t="str">
            <v>HOSE</v>
          </cell>
          <cell r="H917">
            <v>181999868</v>
          </cell>
        </row>
        <row r="918">
          <cell r="D918" t="str">
            <v>NLG</v>
          </cell>
          <cell r="E918" t="str">
            <v>CTCP Đầu tư Nam Long</v>
          </cell>
          <cell r="F918" t="str">
            <v>Phát triển bất động sản</v>
          </cell>
          <cell r="G918" t="str">
            <v>HOSE</v>
          </cell>
          <cell r="H918">
            <v>285270660</v>
          </cell>
        </row>
        <row r="919">
          <cell r="D919" t="str">
            <v>NLS</v>
          </cell>
          <cell r="E919" t="str">
            <v>CTCP Cấp thoát nước Lạng Sơn</v>
          </cell>
          <cell r="F919" t="str">
            <v>Nước, chất thải và các hệ thống khác</v>
          </cell>
          <cell r="G919" t="str">
            <v>UPCoM</v>
          </cell>
          <cell r="H919">
            <v>5009800</v>
          </cell>
        </row>
        <row r="920">
          <cell r="D920" t="str">
            <v>NNB</v>
          </cell>
          <cell r="E920" t="str">
            <v>CTCP Cấp thoát nước Ninh Bình</v>
          </cell>
          <cell r="F920" t="str">
            <v>Nước, chất thải và các hệ thống khác</v>
          </cell>
          <cell r="G920" t="str">
            <v>UPCoM</v>
          </cell>
          <cell r="H920">
            <v>15080000</v>
          </cell>
        </row>
        <row r="921">
          <cell r="D921" t="str">
            <v>NNC</v>
          </cell>
          <cell r="E921" t="str">
            <v>CTCP Đá Núi Nhỏ</v>
          </cell>
          <cell r="F921" t="str">
            <v>Khai khoáng (ngoại trừ dầu mỏ và khí đốt)</v>
          </cell>
          <cell r="G921" t="str">
            <v>HOSE</v>
          </cell>
          <cell r="H921">
            <v>21920000</v>
          </cell>
        </row>
        <row r="922">
          <cell r="D922" t="str">
            <v>NNG</v>
          </cell>
          <cell r="E922" t="str">
            <v>CTCP Công nghiệp - Dịch vụ - Thương mại Ngọc Nghĩa</v>
          </cell>
          <cell r="F922" t="str">
            <v>Sản xuất các sản phẩm nhựa và cao su</v>
          </cell>
          <cell r="G922" t="str">
            <v>UPCoM</v>
          </cell>
          <cell r="H922">
            <v>81570988</v>
          </cell>
        </row>
        <row r="923">
          <cell r="D923" t="str">
            <v>NNQ</v>
          </cell>
          <cell r="E923" t="str">
            <v>CTCP Giống Nông nghiệp Quảng Nam</v>
          </cell>
          <cell r="F923" t="str">
            <v>Hoạt động hỗ trợ cho nông lâm nghiệp</v>
          </cell>
          <cell r="G923" t="str">
            <v>UPCoM</v>
          </cell>
          <cell r="H923">
            <v>1281303</v>
          </cell>
        </row>
        <row r="924">
          <cell r="D924" t="str">
            <v>NNT</v>
          </cell>
          <cell r="E924" t="str">
            <v>CTCP Cấp nước Ninh Thuận</v>
          </cell>
          <cell r="F924" t="str">
            <v>Nước, chất thải và các hệ thống khác</v>
          </cell>
          <cell r="G924" t="str">
            <v>UPCoM</v>
          </cell>
          <cell r="H924">
            <v>9490841</v>
          </cell>
        </row>
        <row r="925">
          <cell r="D925" t="str">
            <v>NOS</v>
          </cell>
          <cell r="E925" t="str">
            <v>CTCP Vận tải biển và Thương mại Phương Đông</v>
          </cell>
          <cell r="F925" t="str">
            <v>Vận tải đường thủy</v>
          </cell>
          <cell r="G925" t="str">
            <v>UPCoM</v>
          </cell>
          <cell r="H925">
            <v>20056000</v>
          </cell>
        </row>
        <row r="926">
          <cell r="D926" t="str">
            <v>NQB</v>
          </cell>
          <cell r="E926" t="str">
            <v>CTCP Cấp nước Quảng Bình</v>
          </cell>
          <cell r="F926" t="str">
            <v>Nước, chất thải và các hệ thống khác</v>
          </cell>
          <cell r="G926" t="str">
            <v>UPCoM</v>
          </cell>
          <cell r="H926">
            <v>17230204</v>
          </cell>
        </row>
        <row r="927">
          <cell r="D927" t="str">
            <v>NQN</v>
          </cell>
          <cell r="E927" t="str">
            <v>CTCP Nước sạch Quảng Ninh</v>
          </cell>
          <cell r="F927" t="str">
            <v>Nước, chất thải và các hệ thống khác</v>
          </cell>
          <cell r="G927" t="str">
            <v>UPCoM</v>
          </cell>
          <cell r="H927">
            <v>50831593</v>
          </cell>
        </row>
        <row r="928">
          <cell r="D928" t="str">
            <v>NQT</v>
          </cell>
          <cell r="E928" t="str">
            <v>CTCP Nước sạch Quảng Trị</v>
          </cell>
          <cell r="F928" t="str">
            <v>Nước, chất thải và các hệ thống khác</v>
          </cell>
          <cell r="G928" t="str">
            <v>UPCoM</v>
          </cell>
          <cell r="H928">
            <v>18233269</v>
          </cell>
        </row>
        <row r="929">
          <cell r="D929" t="str">
            <v>NRC</v>
          </cell>
          <cell r="E929" t="str">
            <v>CTCP Tập Đoàn Danh Khôi</v>
          </cell>
          <cell r="F929" t="str">
            <v>Bất động sản</v>
          </cell>
          <cell r="G929" t="str">
            <v>HNX</v>
          </cell>
          <cell r="H929">
            <v>30179805</v>
          </cell>
        </row>
        <row r="930">
          <cell r="D930" t="str">
            <v>NS2</v>
          </cell>
          <cell r="E930" t="str">
            <v>CTCP Nước sạch Số 2 Hà Nội</v>
          </cell>
          <cell r="F930" t="str">
            <v>Nước, chất thải và các hệ thống khác</v>
          </cell>
          <cell r="G930" t="str">
            <v>UPCoM</v>
          </cell>
          <cell r="H930">
            <v>56800000</v>
          </cell>
        </row>
        <row r="931">
          <cell r="D931" t="str">
            <v>NS3</v>
          </cell>
          <cell r="E931" t="str">
            <v>CTCP Sản xuất Kinh doanh Nước sạch Số 3 Hà Nội</v>
          </cell>
          <cell r="F931" t="str">
            <v>Nước, chất thải và các hệ thống khác</v>
          </cell>
          <cell r="G931" t="str">
            <v>UPCoM</v>
          </cell>
          <cell r="H931">
            <v>7919999</v>
          </cell>
        </row>
        <row r="932">
          <cell r="D932" t="str">
            <v>NSC</v>
          </cell>
          <cell r="E932" t="str">
            <v>CTCP Tập đoàn Giống cây trồng Việt Nam</v>
          </cell>
          <cell r="F932" t="str">
            <v>Trồng trọt</v>
          </cell>
          <cell r="G932" t="str">
            <v>HNX</v>
          </cell>
          <cell r="H932">
            <v>17586988</v>
          </cell>
        </row>
        <row r="933">
          <cell r="D933" t="str">
            <v>NSG</v>
          </cell>
          <cell r="E933" t="str">
            <v>CTCP Nhựa Sài Gòn</v>
          </cell>
          <cell r="F933" t="str">
            <v>Sản xuất các sản phẩm nhựa và cao su</v>
          </cell>
          <cell r="G933" t="str">
            <v>UPCoM</v>
          </cell>
          <cell r="H933">
            <v>8639208</v>
          </cell>
        </row>
        <row r="934">
          <cell r="D934" t="str">
            <v>NSH</v>
          </cell>
          <cell r="E934" t="str">
            <v>CTCP Nhôm Sông Hồng</v>
          </cell>
          <cell r="F934" t="str">
            <v>Sản xuất các sản phẩm kim loại cơ bản</v>
          </cell>
          <cell r="G934" t="str">
            <v>HNX</v>
          </cell>
          <cell r="H934">
            <v>20693437</v>
          </cell>
        </row>
        <row r="935">
          <cell r="D935" t="str">
            <v>NSL</v>
          </cell>
          <cell r="E935" t="str">
            <v>CTCP Cấp nước Sơn La</v>
          </cell>
          <cell r="F935" t="str">
            <v>Nước, chất thải và các hệ thống khác</v>
          </cell>
          <cell r="G935" t="str">
            <v>UPCoM</v>
          </cell>
          <cell r="H935">
            <v>10000000</v>
          </cell>
        </row>
        <row r="936">
          <cell r="D936" t="str">
            <v>NSS</v>
          </cell>
          <cell r="E936" t="str">
            <v>CTCP Nông Súc Sản Đồng Nai</v>
          </cell>
          <cell r="F936" t="str">
            <v>Chăn nuôi</v>
          </cell>
          <cell r="G936" t="str">
            <v>UPCoM</v>
          </cell>
          <cell r="H936">
            <v>10263942</v>
          </cell>
        </row>
        <row r="937">
          <cell r="D937" t="str">
            <v>NST</v>
          </cell>
          <cell r="E937" t="str">
            <v>CTCP Ngân Sơn</v>
          </cell>
          <cell r="F937" t="str">
            <v>Sản xuất đồ uống và thuốc lá</v>
          </cell>
          <cell r="G937" t="str">
            <v>HNX</v>
          </cell>
          <cell r="H937">
            <v>11202003</v>
          </cell>
        </row>
        <row r="938">
          <cell r="D938" t="str">
            <v>NT2</v>
          </cell>
          <cell r="E938" t="str">
            <v>CTCP Điện lực Dầu khí Nhơn Trạch 2</v>
          </cell>
          <cell r="F938" t="str">
            <v>Phát, truyền tải và phân phối điện năng</v>
          </cell>
          <cell r="G938" t="str">
            <v>HOSE</v>
          </cell>
          <cell r="H938">
            <v>287876029</v>
          </cell>
        </row>
        <row r="939">
          <cell r="D939" t="str">
            <v>NTB</v>
          </cell>
          <cell r="E939" t="str">
            <v>CTCP Đầu tư Xây dựng và Khai thác Công trình Giao thông 584</v>
          </cell>
          <cell r="F939" t="str">
            <v>Xây dựng công nghiệp nặng và dân dụng</v>
          </cell>
          <cell r="G939" t="str">
            <v>UPCoM</v>
          </cell>
          <cell r="H939">
            <v>39779577</v>
          </cell>
        </row>
        <row r="940">
          <cell r="D940" t="str">
            <v>NTC</v>
          </cell>
          <cell r="E940" t="str">
            <v>CTCP Khu Công nghiệp Nam Tân Uyên</v>
          </cell>
          <cell r="F940" t="str">
            <v>Bất động sản</v>
          </cell>
          <cell r="G940" t="str">
            <v>UPCoM</v>
          </cell>
          <cell r="H940">
            <v>23999980</v>
          </cell>
        </row>
        <row r="941">
          <cell r="D941" t="str">
            <v>NTF</v>
          </cell>
          <cell r="E941" t="str">
            <v>CTCP Dược - Vật tư Y tế Nghệ An</v>
          </cell>
          <cell r="F941" t="str">
            <v>Sản xuất hóa chất, dược phẩm</v>
          </cell>
          <cell r="G941" t="str">
            <v>UPCoM</v>
          </cell>
          <cell r="H941">
            <v>6000000</v>
          </cell>
        </row>
        <row r="942">
          <cell r="D942" t="str">
            <v>NTH</v>
          </cell>
          <cell r="E942" t="str">
            <v>CTCP Thủy điện Nước Trong</v>
          </cell>
          <cell r="F942" t="str">
            <v>Phát, truyền tải và phân phối điện năng</v>
          </cell>
          <cell r="G942" t="str">
            <v>HNX</v>
          </cell>
          <cell r="H942">
            <v>10802053</v>
          </cell>
        </row>
        <row r="943">
          <cell r="D943" t="str">
            <v>NTL</v>
          </cell>
          <cell r="E943" t="str">
            <v>CTCP Phát triển Đô thị Từ Liêm</v>
          </cell>
          <cell r="F943" t="str">
            <v>Phát triển bất động sản</v>
          </cell>
          <cell r="G943" t="str">
            <v>HOSE</v>
          </cell>
          <cell r="H943">
            <v>60989950</v>
          </cell>
        </row>
        <row r="944">
          <cell r="D944" t="str">
            <v>NTP</v>
          </cell>
          <cell r="E944" t="str">
            <v>CTCP Nhựa Thiếu niên Tiền Phong</v>
          </cell>
          <cell r="F944" t="str">
            <v>Sản xuất các sản phẩm nhựa và cao su</v>
          </cell>
          <cell r="G944" t="str">
            <v>HNX</v>
          </cell>
          <cell r="H944">
            <v>117796183</v>
          </cell>
        </row>
        <row r="945">
          <cell r="D945" t="str">
            <v>NTT</v>
          </cell>
          <cell r="E945" t="str">
            <v>CTCP Dệt - May Nha Trang</v>
          </cell>
          <cell r="F945" t="str">
            <v>Sản xuất sợi, vải</v>
          </cell>
          <cell r="G945" t="str">
            <v>UPCoM</v>
          </cell>
          <cell r="H945">
            <v>18500000</v>
          </cell>
        </row>
        <row r="946">
          <cell r="D946" t="str">
            <v>NTW</v>
          </cell>
          <cell r="E946" t="str">
            <v>CTCP Cấp nước Nhơn Trạch</v>
          </cell>
          <cell r="F946" t="str">
            <v>Nước, chất thải và các hệ thống khác</v>
          </cell>
          <cell r="G946" t="str">
            <v>UPCoM</v>
          </cell>
          <cell r="H946">
            <v>10000000</v>
          </cell>
        </row>
        <row r="947">
          <cell r="D947" t="str">
            <v>NUE</v>
          </cell>
          <cell r="E947" t="str">
            <v>CTCP Môi trường Đô thị Nha Trang</v>
          </cell>
          <cell r="F947" t="str">
            <v>Dịch vụ tư vấn quản lý, khoa học và kỹ thuật</v>
          </cell>
          <cell r="G947" t="str">
            <v>UPCoM</v>
          </cell>
          <cell r="H947">
            <v>6000000</v>
          </cell>
        </row>
        <row r="948">
          <cell r="D948" t="str">
            <v>NVB</v>
          </cell>
          <cell r="E948" t="str">
            <v>Ngân hàng TMCP Quốc Dân</v>
          </cell>
          <cell r="F948" t="str">
            <v>Trung gian tín dụng và các hoạt động liên quan</v>
          </cell>
          <cell r="G948" t="str">
            <v>HNX</v>
          </cell>
          <cell r="H948">
            <v>410155587</v>
          </cell>
        </row>
        <row r="949">
          <cell r="D949" t="str">
            <v>NVL</v>
          </cell>
          <cell r="E949" t="str">
            <v>CTCP Tập đoàn Đầu tư Địa ốc No Va</v>
          </cell>
          <cell r="F949" t="str">
            <v>Phát triển bất động sản</v>
          </cell>
          <cell r="G949" t="str">
            <v>HOSE</v>
          </cell>
          <cell r="H949">
            <v>1473605619</v>
          </cell>
        </row>
        <row r="950">
          <cell r="D950" t="str">
            <v>NVP</v>
          </cell>
          <cell r="E950" t="str">
            <v>CTCP Nước sạch Vĩnh Phúc</v>
          </cell>
          <cell r="F950" t="str">
            <v>Nước, chất thải và các hệ thống khác</v>
          </cell>
          <cell r="G950" t="str">
            <v>UPCoM</v>
          </cell>
          <cell r="H950">
            <v>10963000</v>
          </cell>
        </row>
        <row r="951">
          <cell r="D951" t="str">
            <v>NVT</v>
          </cell>
          <cell r="E951" t="str">
            <v>CTCP Bất động sản Du lịch Ninh Vân Bay</v>
          </cell>
          <cell r="F951" t="str">
            <v>Khách sạn và phòng ở</v>
          </cell>
          <cell r="G951" t="str">
            <v>HOSE</v>
          </cell>
          <cell r="H951">
            <v>90500000</v>
          </cell>
        </row>
        <row r="952">
          <cell r="D952" t="str">
            <v>NWT</v>
          </cell>
          <cell r="E952" t="str">
            <v>CTCP Vận tải Newway</v>
          </cell>
          <cell r="F952" t="str">
            <v>Vận chuyển du lịch</v>
          </cell>
          <cell r="G952" t="str">
            <v>UPCoM</v>
          </cell>
          <cell r="H952">
            <v>8500000</v>
          </cell>
        </row>
        <row r="953">
          <cell r="D953" t="str">
            <v>OCB</v>
          </cell>
          <cell r="E953" t="str">
            <v>Ngân hàng TMCP Phương Đông</v>
          </cell>
          <cell r="F953" t="str">
            <v>Trung gian tín dụng và các hoạt động liên quan</v>
          </cell>
          <cell r="G953" t="str">
            <v>HOSE</v>
          </cell>
          <cell r="H953">
            <v>1095906343</v>
          </cell>
        </row>
        <row r="954">
          <cell r="D954" t="str">
            <v>OCH</v>
          </cell>
          <cell r="E954" t="str">
            <v>CTCP Khách sạn và Dịch vụ OCH</v>
          </cell>
          <cell r="F954" t="str">
            <v>Khách sạn và phòng ở</v>
          </cell>
          <cell r="G954" t="str">
            <v>HNX</v>
          </cell>
          <cell r="H954">
            <v>200000000</v>
          </cell>
        </row>
        <row r="955">
          <cell r="D955" t="str">
            <v>OGC</v>
          </cell>
          <cell r="E955" t="str">
            <v>CTCP Tập đoàn Đại Dương</v>
          </cell>
          <cell r="F955" t="str">
            <v>Môi giới chứng khoán, hàng hóa, đầu tư tài chính khác và các hoạt động liên quan</v>
          </cell>
          <cell r="G955" t="str">
            <v>HOSE</v>
          </cell>
          <cell r="H955">
            <v>300000000</v>
          </cell>
        </row>
        <row r="956">
          <cell r="D956" t="str">
            <v>OIL</v>
          </cell>
          <cell r="E956" t="str">
            <v>Tổng Công ty Dầu Việt Nam - CTCP</v>
          </cell>
          <cell r="F956" t="str">
            <v>Bán buôn hàng tiêu dùng</v>
          </cell>
          <cell r="G956" t="str">
            <v>UPCoM</v>
          </cell>
          <cell r="H956"/>
        </row>
        <row r="957">
          <cell r="D957" t="str">
            <v>ONE</v>
          </cell>
          <cell r="E957" t="str">
            <v>CTCP Truyền thông Số 1</v>
          </cell>
          <cell r="F957" t="str">
            <v>Viễn thông</v>
          </cell>
          <cell r="G957" t="str">
            <v>HNX</v>
          </cell>
          <cell r="H957">
            <v>7960310</v>
          </cell>
        </row>
        <row r="958">
          <cell r="D958" t="str">
            <v>ONW</v>
          </cell>
          <cell r="E958" t="str">
            <v>CTCP Dịch vụ Một Thế Giới</v>
          </cell>
          <cell r="F958" t="str">
            <v>Thiết kế hệ thống máy tính và dịch vụ liên quan</v>
          </cell>
          <cell r="G958" t="str">
            <v>UPCoM</v>
          </cell>
          <cell r="H958">
            <v>2000000</v>
          </cell>
        </row>
        <row r="959">
          <cell r="D959" t="str">
            <v>OPC</v>
          </cell>
          <cell r="E959" t="str">
            <v>CTCP Dược phẩm OPC</v>
          </cell>
          <cell r="F959" t="str">
            <v>Sản xuất hóa chất, dược phẩm</v>
          </cell>
          <cell r="G959" t="str">
            <v>HOSE</v>
          </cell>
          <cell r="H959">
            <v>26577280</v>
          </cell>
        </row>
        <row r="960">
          <cell r="D960" t="str">
            <v>ORS</v>
          </cell>
          <cell r="E960" t="str">
            <v>CTCP Chứng khoán Tiên Phong</v>
          </cell>
          <cell r="F960" t="str">
            <v>Môi giới chứng khoán, hàng hóa, đầu tư tài chính khác và các hoạt động liên quan</v>
          </cell>
          <cell r="G960" t="str">
            <v>UPCoM</v>
          </cell>
          <cell r="H960">
            <v>100000000</v>
          </cell>
        </row>
        <row r="961">
          <cell r="D961" t="str">
            <v>PAC</v>
          </cell>
          <cell r="E961" t="str">
            <v>CTCP Pin Ắc quy Miền Nam</v>
          </cell>
          <cell r="F961" t="str">
            <v>Sản xuất trang thiết bị, dụng cụ điện</v>
          </cell>
          <cell r="G961" t="str">
            <v>HOSE</v>
          </cell>
          <cell r="H961">
            <v>46471707</v>
          </cell>
        </row>
        <row r="962">
          <cell r="D962" t="str">
            <v>PAI</v>
          </cell>
          <cell r="E962" t="str">
            <v>CTCP Công nghệ thông tin Viễn thông và Tự động hóa Dầu Khí</v>
          </cell>
          <cell r="F962" t="str">
            <v>Các dịch vụ thông tin khác</v>
          </cell>
          <cell r="G962" t="str">
            <v>UPCoM</v>
          </cell>
          <cell r="H962">
            <v>4235290</v>
          </cell>
        </row>
        <row r="963">
          <cell r="D963" t="str">
            <v>PAN</v>
          </cell>
          <cell r="E963" t="str">
            <v>CTCP Tập đoàn Pan</v>
          </cell>
          <cell r="F963" t="str">
            <v>Sản xuất thực phẩm</v>
          </cell>
          <cell r="G963" t="str">
            <v>HNX</v>
          </cell>
          <cell r="H963">
            <v>216358580</v>
          </cell>
        </row>
        <row r="964">
          <cell r="D964" t="str">
            <v>PAP</v>
          </cell>
          <cell r="E964" t="str">
            <v>CTCP Dầu khí Đầu tư Khai thác Cảng Phước An</v>
          </cell>
          <cell r="F964" t="str">
            <v>Hỗ trợ vận tải</v>
          </cell>
          <cell r="G964" t="str">
            <v>UPCoM</v>
          </cell>
          <cell r="H964">
            <v>150000000</v>
          </cell>
        </row>
        <row r="965">
          <cell r="D965" t="str">
            <v>PAS</v>
          </cell>
          <cell r="E965" t="str">
            <v>CTCP Quốc tế Phương Anh</v>
          </cell>
          <cell r="F965" t="str">
            <v>Sản xuất các sản phẩm kim loại cơ bản</v>
          </cell>
          <cell r="G965" t="str">
            <v>UPCoM</v>
          </cell>
          <cell r="H965">
            <v>28049968</v>
          </cell>
        </row>
        <row r="966">
          <cell r="D966" t="str">
            <v>PBC</v>
          </cell>
          <cell r="E966" t="str">
            <v>CTCP Dược phẩm Trung Ương 1- Pharbaco</v>
          </cell>
          <cell r="F966" t="str">
            <v>Sản xuất hóa chất, dược phẩm</v>
          </cell>
          <cell r="G966" t="str">
            <v>UPCoM</v>
          </cell>
          <cell r="H966">
            <v>90000000</v>
          </cell>
        </row>
        <row r="967">
          <cell r="D967" t="str">
            <v>PBP</v>
          </cell>
          <cell r="E967" t="str">
            <v>CTCP Bao bì Dầu khí Việt Nam</v>
          </cell>
          <cell r="F967" t="str">
            <v>Sản xuất các sản phẩm nhựa và cao su</v>
          </cell>
          <cell r="G967" t="str">
            <v>HNX</v>
          </cell>
          <cell r="H967">
            <v>4799516</v>
          </cell>
        </row>
        <row r="968">
          <cell r="D968" t="str">
            <v>PBT</v>
          </cell>
          <cell r="E968" t="str">
            <v>CTCP Nhà và Thương mại Dầu khí</v>
          </cell>
          <cell r="F968" t="str">
            <v>Sản xuất các sản phẩm nhựa và cao su</v>
          </cell>
          <cell r="G968" t="str">
            <v>UPCoM</v>
          </cell>
          <cell r="H968">
            <v>17522284</v>
          </cell>
        </row>
        <row r="969">
          <cell r="D969" t="str">
            <v>PC1</v>
          </cell>
          <cell r="E969" t="str">
            <v>CTCP Xây lắp Điện I</v>
          </cell>
          <cell r="F969" t="str">
            <v>Xây dựng công nghiệp nặng và dân dụng</v>
          </cell>
          <cell r="G969" t="str">
            <v>HOSE</v>
          </cell>
          <cell r="H969">
            <v>191188159</v>
          </cell>
        </row>
        <row r="970">
          <cell r="D970" t="str">
            <v>PCC</v>
          </cell>
          <cell r="E970" t="str">
            <v>CTCP Tập đoàn Xây lắp 1 - Petrolimex</v>
          </cell>
          <cell r="F970" t="str">
            <v>Xây dựng công nghiệp nặng và dân dụng</v>
          </cell>
          <cell r="G970" t="str">
            <v>UPCoM</v>
          </cell>
          <cell r="H970">
            <v>11500000</v>
          </cell>
        </row>
        <row r="971">
          <cell r="D971" t="str">
            <v>PCE</v>
          </cell>
          <cell r="E971" t="str">
            <v>CTCP Phân bón và Hóa chất Dầu khí Miền Trung</v>
          </cell>
          <cell r="F971" t="str">
            <v>Sản xuất hóa chất, dược phẩm</v>
          </cell>
          <cell r="G971" t="str">
            <v>HNX</v>
          </cell>
          <cell r="H971">
            <v>10000000</v>
          </cell>
        </row>
        <row r="972">
          <cell r="D972" t="str">
            <v>PCF</v>
          </cell>
          <cell r="E972" t="str">
            <v>CTCP Cà phê PETEC</v>
          </cell>
          <cell r="F972" t="str">
            <v>Bán buôn hàng tiêu dùng</v>
          </cell>
          <cell r="G972" t="str">
            <v>UPCoM</v>
          </cell>
          <cell r="H972">
            <v>3000000</v>
          </cell>
        </row>
        <row r="973">
          <cell r="D973" t="str">
            <v>PCG</v>
          </cell>
          <cell r="E973" t="str">
            <v>CTCP Đầu tư Phát triển Gas Đô thị</v>
          </cell>
          <cell r="F973" t="str">
            <v>Phân phối khí đốt thiên nhiên</v>
          </cell>
          <cell r="G973" t="str">
            <v>HNX</v>
          </cell>
          <cell r="H973">
            <v>18870000</v>
          </cell>
        </row>
        <row r="974">
          <cell r="D974" t="str">
            <v>PCM</v>
          </cell>
          <cell r="E974" t="str">
            <v>CTCP Vật liệu Xây dựng Bưu điện</v>
          </cell>
          <cell r="F974" t="str">
            <v>Sản xuất các sản phẩm điện tử, vi tính</v>
          </cell>
          <cell r="G974" t="str">
            <v>UPCoM</v>
          </cell>
          <cell r="H974">
            <v>4000000</v>
          </cell>
        </row>
        <row r="975">
          <cell r="D975" t="str">
            <v>PCN</v>
          </cell>
          <cell r="E975" t="str">
            <v>CTCP Hóa phẩm Dầu khí DMC - Miền Bắc</v>
          </cell>
          <cell r="F975" t="str">
            <v>Bán buôn hàng tiêu dùng</v>
          </cell>
          <cell r="G975" t="str">
            <v>UPCoM</v>
          </cell>
          <cell r="H975">
            <v>3924550</v>
          </cell>
        </row>
        <row r="976">
          <cell r="D976" t="str">
            <v>PCT</v>
          </cell>
          <cell r="E976" t="str">
            <v>CTCP Vận tải Khí và Hoá chất Việt Nam</v>
          </cell>
          <cell r="F976" t="str">
            <v>Bán buôn hàng tiêu dùng</v>
          </cell>
          <cell r="G976" t="str">
            <v>HNX</v>
          </cell>
          <cell r="H976">
            <v>23000000</v>
          </cell>
        </row>
        <row r="977">
          <cell r="D977" t="str">
            <v>PDB</v>
          </cell>
          <cell r="E977" t="str">
            <v>CTCP Tập đoàn Đầu tư Din Capital</v>
          </cell>
          <cell r="F977" t="str">
            <v>Sản xuất sản phẩm khoáng chất phi kim</v>
          </cell>
          <cell r="G977" t="str">
            <v>HNX</v>
          </cell>
          <cell r="H977">
            <v>8909981</v>
          </cell>
        </row>
        <row r="978">
          <cell r="D978" t="str">
            <v>PDC</v>
          </cell>
          <cell r="E978" t="str">
            <v>CTCP Du lịch Dầu khí Phương Đông</v>
          </cell>
          <cell r="F978" t="str">
            <v>Khách sạn và phòng ở</v>
          </cell>
          <cell r="G978" t="str">
            <v>HNX</v>
          </cell>
          <cell r="H978">
            <v>15000000</v>
          </cell>
        </row>
        <row r="979">
          <cell r="D979" t="str">
            <v>PDN</v>
          </cell>
          <cell r="E979" t="str">
            <v>CTCP Cảng Đồng Nai</v>
          </cell>
          <cell r="F979" t="str">
            <v>Hỗ trợ vận tải</v>
          </cell>
          <cell r="G979" t="str">
            <v>HOSE</v>
          </cell>
          <cell r="H979">
            <v>18521954</v>
          </cell>
        </row>
        <row r="980">
          <cell r="D980" t="str">
            <v>PDR</v>
          </cell>
          <cell r="E980" t="str">
            <v>CTCP Phát triển Bất động sản Phát Đạt</v>
          </cell>
          <cell r="F980" t="str">
            <v>Phát triển bất động sản</v>
          </cell>
          <cell r="G980" t="str">
            <v>HOSE</v>
          </cell>
          <cell r="H980">
            <v>486771916</v>
          </cell>
        </row>
        <row r="981">
          <cell r="D981" t="str">
            <v>PDT</v>
          </cell>
          <cell r="E981" t="str">
            <v>CTCP Thương mại Dầu khí Đồng Tháp</v>
          </cell>
          <cell r="F981" t="str">
            <v>Trạm xăng</v>
          </cell>
          <cell r="G981" t="str">
            <v>UPCoM</v>
          </cell>
          <cell r="H981">
            <v>773526</v>
          </cell>
        </row>
        <row r="982">
          <cell r="D982" t="str">
            <v>PDV</v>
          </cell>
          <cell r="E982" t="str">
            <v>CTCP Vận tải Dầu Phương Đông Việt</v>
          </cell>
          <cell r="F982" t="str">
            <v>Hỗ trợ vận tải</v>
          </cell>
          <cell r="G982" t="str">
            <v>UPCoM</v>
          </cell>
          <cell r="H982">
            <v>23500000</v>
          </cell>
        </row>
        <row r="983">
          <cell r="D983" t="str">
            <v>PEC</v>
          </cell>
          <cell r="E983" t="str">
            <v>CTCP Cơ khí Điện lực</v>
          </cell>
          <cell r="F983" t="str">
            <v>Sản xuất sản phẩm kim loại tổng hợp</v>
          </cell>
          <cell r="G983" t="str">
            <v>UPCoM</v>
          </cell>
          <cell r="H983">
            <v>3115409</v>
          </cell>
        </row>
        <row r="984">
          <cell r="D984" t="str">
            <v>PEG</v>
          </cell>
          <cell r="E984" t="str">
            <v>Tổng Công ty Thương mại Kỹ thuật và Đầu tư - CTCP</v>
          </cell>
          <cell r="F984" t="str">
            <v>Bán buôn hàng tiêu dùng</v>
          </cell>
          <cell r="G984" t="str">
            <v>UPCoM</v>
          </cell>
          <cell r="H984">
            <v>231898919</v>
          </cell>
        </row>
        <row r="985">
          <cell r="D985" t="str">
            <v>PEN</v>
          </cell>
          <cell r="E985" t="str">
            <v>CTCP Xây lắp III Petrolimex</v>
          </cell>
          <cell r="F985" t="str">
            <v>Xây dựng công nghiệp nặng và dân dụng</v>
          </cell>
          <cell r="G985" t="str">
            <v>HNX</v>
          </cell>
          <cell r="H985">
            <v>5000000</v>
          </cell>
        </row>
        <row r="986">
          <cell r="D986" t="str">
            <v>PEQ</v>
          </cell>
          <cell r="E986" t="str">
            <v>CTCP Thiết bị Xăng dầu Petrolimex</v>
          </cell>
          <cell r="F986" t="str">
            <v>Cửa hàng đồ nội thất và đồ dùng gia đình</v>
          </cell>
          <cell r="G986" t="str">
            <v>UPCoM</v>
          </cell>
          <cell r="H986">
            <v>4965514</v>
          </cell>
        </row>
        <row r="987">
          <cell r="D987" t="str">
            <v>PET</v>
          </cell>
          <cell r="E987" t="str">
            <v>Tổng Công ty cổ phần Dịch vụ Tổng hợp Dầu khí</v>
          </cell>
          <cell r="F987" t="str">
            <v>Bán buôn hàng lâu bền</v>
          </cell>
          <cell r="G987" t="str">
            <v>HOSE</v>
          </cell>
          <cell r="H987">
            <v>86600124</v>
          </cell>
        </row>
        <row r="988">
          <cell r="D988" t="str">
            <v>PFL</v>
          </cell>
          <cell r="E988" t="str">
            <v>CTCP Dầu khí Đông Đô</v>
          </cell>
          <cell r="F988" t="str">
            <v>Xây dựng công nghiệp nặng và dân dụng</v>
          </cell>
          <cell r="G988" t="str">
            <v>UPCoM</v>
          </cell>
          <cell r="H988">
            <v>50000000</v>
          </cell>
        </row>
        <row r="989">
          <cell r="D989" t="str">
            <v>PGB</v>
          </cell>
          <cell r="E989" t="str">
            <v>Ngân hàng TMCP Xăng dầu Petrolimex</v>
          </cell>
          <cell r="F989" t="str">
            <v>Trung gian tín dụng và các hoạt động liên quan</v>
          </cell>
          <cell r="G989" t="str">
            <v>UPCoM</v>
          </cell>
          <cell r="H989">
            <v>300000000</v>
          </cell>
        </row>
        <row r="990">
          <cell r="D990" t="str">
            <v>PGC</v>
          </cell>
          <cell r="E990" t="str">
            <v>Tổng Công ty Gas Petrolimex - CTCP</v>
          </cell>
          <cell r="F990" t="str">
            <v>Phân phối khí đốt thiên nhiên</v>
          </cell>
          <cell r="G990" t="str">
            <v>HOSE</v>
          </cell>
          <cell r="H990">
            <v>60342638</v>
          </cell>
        </row>
        <row r="991">
          <cell r="D991" t="str">
            <v>PGD</v>
          </cell>
          <cell r="E991" t="str">
            <v>CTCP Phân phối khí thấp áp Dầu khí Việt Nam</v>
          </cell>
          <cell r="F991" t="str">
            <v>Phân phối khí đốt thiên nhiên</v>
          </cell>
          <cell r="G991" t="str">
            <v>HOSE</v>
          </cell>
          <cell r="H991">
            <v>89999025</v>
          </cell>
        </row>
        <row r="992">
          <cell r="D992" t="str">
            <v>PGI</v>
          </cell>
          <cell r="E992" t="str">
            <v>Tổng Công ty cổ phần Bảo hiểm Petrolimex</v>
          </cell>
          <cell r="F992" t="str">
            <v>Bảo hiểm và các hoạt động liên quan</v>
          </cell>
          <cell r="G992" t="str">
            <v>HOSE</v>
          </cell>
          <cell r="H992">
            <v>88717773</v>
          </cell>
        </row>
        <row r="993">
          <cell r="D993" t="str">
            <v>PGN</v>
          </cell>
          <cell r="E993" t="str">
            <v>CTCP Phụ Gia Nhựa</v>
          </cell>
          <cell r="F993" t="str">
            <v>Sản xuất hóa chất, dược phẩm</v>
          </cell>
          <cell r="G993" t="str">
            <v>HNX</v>
          </cell>
          <cell r="H993">
            <v>6797991</v>
          </cell>
        </row>
        <row r="994">
          <cell r="D994" t="str">
            <v>PGS</v>
          </cell>
          <cell r="E994" t="str">
            <v>CTCP Kinh doanh Khí Miền Nam</v>
          </cell>
          <cell r="F994" t="str">
            <v>Phân phối khí đốt thiên nhiên</v>
          </cell>
          <cell r="G994" t="str">
            <v>HNX</v>
          </cell>
          <cell r="H994">
            <v>50000000</v>
          </cell>
        </row>
        <row r="995">
          <cell r="D995" t="str">
            <v>PGT</v>
          </cell>
          <cell r="E995" t="str">
            <v>CTCP PGT Holdings</v>
          </cell>
          <cell r="F995" t="str">
            <v>Vận tải trung chuyển và vận tải hành khách bằng đường bộ</v>
          </cell>
          <cell r="G995" t="str">
            <v>HNX</v>
          </cell>
          <cell r="H995">
            <v>9241801</v>
          </cell>
        </row>
        <row r="996">
          <cell r="D996" t="str">
            <v>PGV</v>
          </cell>
          <cell r="E996" t="str">
            <v>Tổng Công ty Phát điện 3 - CTCP</v>
          </cell>
          <cell r="F996" t="str">
            <v>Phát, truyền tải và phân phối điện năng</v>
          </cell>
          <cell r="G996" t="str">
            <v>UPCoM</v>
          </cell>
          <cell r="H996">
            <v>1069969577</v>
          </cell>
        </row>
        <row r="997">
          <cell r="D997" t="str">
            <v>PHC</v>
          </cell>
          <cell r="E997" t="str">
            <v>CTCP Xây dựng Phục Hưng Holdings</v>
          </cell>
          <cell r="F997" t="str">
            <v>Xây dựng công nghiệp nặng và dân dụng</v>
          </cell>
          <cell r="G997" t="str">
            <v>HOSE</v>
          </cell>
          <cell r="H997">
            <v>25674340</v>
          </cell>
        </row>
        <row r="998">
          <cell r="D998" t="str">
            <v>PHH</v>
          </cell>
          <cell r="E998" t="str">
            <v>CTCP Hồng Hà Việt Nam</v>
          </cell>
          <cell r="F998" t="str">
            <v>Xây dựng nhà cửa, cao ốc</v>
          </cell>
          <cell r="G998" t="str">
            <v>UPCoM</v>
          </cell>
          <cell r="H998">
            <v>20000000</v>
          </cell>
        </row>
        <row r="999">
          <cell r="D999" t="str">
            <v>PHN</v>
          </cell>
          <cell r="E999" t="str">
            <v>CTCP Pin Hà Nội</v>
          </cell>
          <cell r="F999" t="str">
            <v>Sản xuất trang thiết bị, dụng cụ điện</v>
          </cell>
          <cell r="G999" t="str">
            <v>HNX</v>
          </cell>
          <cell r="H999">
            <v>7253911</v>
          </cell>
        </row>
        <row r="1000">
          <cell r="D1000" t="str">
            <v>PHP</v>
          </cell>
          <cell r="E1000" t="str">
            <v>CTCP Cảng Hải Phòng</v>
          </cell>
          <cell r="F1000" t="str">
            <v>Hỗ trợ vận tải</v>
          </cell>
          <cell r="G1000" t="str">
            <v>HNX</v>
          </cell>
          <cell r="H1000">
            <v>326960000</v>
          </cell>
        </row>
        <row r="1001">
          <cell r="D1001" t="str">
            <v>PHR</v>
          </cell>
          <cell r="E1001" t="str">
            <v>CTCP Cao su Phước Hòa</v>
          </cell>
          <cell r="F1001" t="str">
            <v>Sản xuất hóa chất, dược phẩm</v>
          </cell>
          <cell r="G1001" t="str">
            <v>HOSE</v>
          </cell>
          <cell r="H1001">
            <v>135499198</v>
          </cell>
        </row>
        <row r="1002">
          <cell r="D1002" t="str">
            <v>PHS</v>
          </cell>
          <cell r="E1002" t="str">
            <v>CTCP Chứng khoán Phú Hưng</v>
          </cell>
          <cell r="F1002" t="str">
            <v>Môi giới chứng khoán, hàng hóa, đầu tư tài chính khác và các hoạt động liên quan</v>
          </cell>
          <cell r="G1002" t="str">
            <v>UPCoM</v>
          </cell>
          <cell r="H1002">
            <v>90000000</v>
          </cell>
        </row>
        <row r="1003">
          <cell r="D1003" t="str">
            <v>PIA</v>
          </cell>
          <cell r="E1003" t="str">
            <v>CTCP Tin học Viễn thông Petrolimex</v>
          </cell>
          <cell r="F1003" t="str">
            <v>Các dịch vụ thông tin khác</v>
          </cell>
          <cell r="G1003" t="str">
            <v>HNX</v>
          </cell>
          <cell r="H1003">
            <v>3900000</v>
          </cell>
        </row>
        <row r="1004">
          <cell r="D1004" t="str">
            <v>PIC</v>
          </cell>
          <cell r="E1004" t="str">
            <v>CTCP Đầu tư Điện lực 3</v>
          </cell>
          <cell r="F1004" t="str">
            <v>Phát, truyền tải và phân phối điện năng</v>
          </cell>
          <cell r="G1004" t="str">
            <v>HNX</v>
          </cell>
          <cell r="H1004">
            <v>33339891</v>
          </cell>
        </row>
        <row r="1005">
          <cell r="D1005" t="str">
            <v>PID</v>
          </cell>
          <cell r="E1005" t="str">
            <v>CTCP Trang Trí Nội Thất Dầu khí</v>
          </cell>
          <cell r="F1005" t="str">
            <v>Dịch vụ thiết kế chuyên biệt</v>
          </cell>
          <cell r="G1005" t="str">
            <v>UPCoM</v>
          </cell>
          <cell r="H1005">
            <v>4000000</v>
          </cell>
        </row>
        <row r="1006">
          <cell r="D1006" t="str">
            <v>PIS</v>
          </cell>
          <cell r="E1006" t="str">
            <v>Tổng Công ty Pisico Bình Định - CTCP</v>
          </cell>
          <cell r="F1006" t="str">
            <v>Sản xuất các sản phẩm gỗ</v>
          </cell>
          <cell r="G1006" t="str">
            <v>UPCoM</v>
          </cell>
          <cell r="H1006"/>
        </row>
        <row r="1007">
          <cell r="D1007" t="str">
            <v>PIT</v>
          </cell>
          <cell r="E1007" t="str">
            <v>CTCP Xuất nhập khẩu Petrolimex</v>
          </cell>
          <cell r="F1007" t="str">
            <v>Bán buôn hàng tiêu dùng</v>
          </cell>
          <cell r="G1007" t="str">
            <v>HOSE</v>
          </cell>
          <cell r="H1007">
            <v>15199345</v>
          </cell>
        </row>
        <row r="1008">
          <cell r="D1008" t="str">
            <v>PIV</v>
          </cell>
          <cell r="E1008" t="str">
            <v>CTCP PIV</v>
          </cell>
          <cell r="F1008" t="str">
            <v>Kinh doanh vật liệu xây dựng, trang thiết bị làm vườn</v>
          </cell>
          <cell r="G1008" t="str">
            <v>UPCoM</v>
          </cell>
          <cell r="H1008">
            <v>17324942</v>
          </cell>
        </row>
        <row r="1009">
          <cell r="D1009" t="str">
            <v>PJC</v>
          </cell>
          <cell r="E1009" t="str">
            <v>CTCP Thương mại và Vận tải Petrolimex Hà Nội</v>
          </cell>
          <cell r="F1009" t="str">
            <v>Vận tải đường bộ</v>
          </cell>
          <cell r="G1009" t="str">
            <v>HNX</v>
          </cell>
          <cell r="H1009">
            <v>7326928</v>
          </cell>
        </row>
        <row r="1010">
          <cell r="D1010" t="str">
            <v>PJS</v>
          </cell>
          <cell r="E1010" t="str">
            <v>CTCP Cấp nước Phú Hòa Tân</v>
          </cell>
          <cell r="F1010" t="str">
            <v>Nước, chất thải và các hệ thống khác</v>
          </cell>
          <cell r="G1010" t="str">
            <v>UPCoM</v>
          </cell>
          <cell r="H1010">
            <v>9000000</v>
          </cell>
        </row>
        <row r="1011">
          <cell r="D1011" t="str">
            <v>PJT</v>
          </cell>
          <cell r="E1011" t="str">
            <v>CTCP Vận tải Xăng dầu đường Thủy Petrolimex</v>
          </cell>
          <cell r="F1011" t="str">
            <v>Vận tải đường thủy</v>
          </cell>
          <cell r="G1011" t="str">
            <v>HOSE</v>
          </cell>
          <cell r="H1011">
            <v>15360478</v>
          </cell>
        </row>
        <row r="1012">
          <cell r="D1012" t="str">
            <v>PLA</v>
          </cell>
          <cell r="E1012" t="str">
            <v>CTCP Đầu tư và Dịch vụ Hạ tầng Xăng dầu</v>
          </cell>
          <cell r="F1012" t="str">
            <v>Bất động sản</v>
          </cell>
          <cell r="G1012" t="str">
            <v>UPCoM</v>
          </cell>
          <cell r="H1012">
            <v>10000000</v>
          </cell>
        </row>
        <row r="1013">
          <cell r="D1013" t="str">
            <v>PLC</v>
          </cell>
          <cell r="E1013" t="str">
            <v>Tổng Công ty Hóa dầu Petrolimex - CTCP</v>
          </cell>
          <cell r="F1013" t="str">
            <v>Sản xuất xăng dầu và than đá</v>
          </cell>
          <cell r="G1013" t="str">
            <v>HNX</v>
          </cell>
          <cell r="H1013">
            <v>80798839</v>
          </cell>
        </row>
        <row r="1014">
          <cell r="D1014" t="str">
            <v>PLE</v>
          </cell>
          <cell r="E1014" t="str">
            <v>CTCP Tư vấn Xây dựng Petrolimex</v>
          </cell>
          <cell r="F1014" t="str">
            <v>Kiến trúc, tư vấn xây dựng và dịch vụ liên quan</v>
          </cell>
          <cell r="G1014" t="str">
            <v>UPCoM</v>
          </cell>
          <cell r="H1014">
            <v>1215000</v>
          </cell>
        </row>
        <row r="1015">
          <cell r="D1015" t="str">
            <v>PLO</v>
          </cell>
          <cell r="E1015" t="str">
            <v>CTCP Kho Vận Petec</v>
          </cell>
          <cell r="F1015" t="str">
            <v>Bán buôn hàng tiêu dùng</v>
          </cell>
          <cell r="G1015" t="str">
            <v>UPCoM</v>
          </cell>
          <cell r="H1015">
            <v>7192550</v>
          </cell>
        </row>
        <row r="1016">
          <cell r="D1016" t="str">
            <v>PLP</v>
          </cell>
          <cell r="E1016" t="str">
            <v>CTCP Sản xuất và Công nghệ Nhựa Pha Lê</v>
          </cell>
          <cell r="F1016" t="str">
            <v>Sản xuất hóa chất, dược phẩm</v>
          </cell>
          <cell r="G1016" t="str">
            <v>HOSE</v>
          </cell>
          <cell r="H1016">
            <v>40000000</v>
          </cell>
        </row>
        <row r="1017">
          <cell r="D1017" t="str">
            <v>PLX</v>
          </cell>
          <cell r="E1017" t="str">
            <v>Tập đoàn Xăng Dầu Việt Nam</v>
          </cell>
          <cell r="F1017" t="str">
            <v>Bán buôn hàng tiêu dùng</v>
          </cell>
          <cell r="G1017" t="str">
            <v>HOSE</v>
          </cell>
          <cell r="H1017">
            <v>1293878081</v>
          </cell>
        </row>
        <row r="1018">
          <cell r="D1018" t="str">
            <v>PMB</v>
          </cell>
          <cell r="E1018" t="str">
            <v>CTCP Phân bón và Hóa chất Dầu khí Miền Bắc</v>
          </cell>
          <cell r="F1018" t="str">
            <v>Sản xuất hóa chất, dược phẩm</v>
          </cell>
          <cell r="G1018" t="str">
            <v>HNX</v>
          </cell>
          <cell r="H1018">
            <v>12000000</v>
          </cell>
        </row>
        <row r="1019">
          <cell r="D1019" t="str">
            <v>PMC</v>
          </cell>
          <cell r="E1019" t="str">
            <v>CTCP Dược phẩm Dược liệu Pharmedic</v>
          </cell>
          <cell r="F1019" t="str">
            <v>Sản xuất hóa chất, dược phẩm</v>
          </cell>
          <cell r="G1019" t="str">
            <v>HNX</v>
          </cell>
          <cell r="H1019">
            <v>9332573</v>
          </cell>
        </row>
        <row r="1020">
          <cell r="D1020" t="str">
            <v>PME</v>
          </cell>
          <cell r="E1020" t="str">
            <v>CTCP Pymepharco</v>
          </cell>
          <cell r="F1020" t="str">
            <v>Sản xuất hóa chất, dược phẩm</v>
          </cell>
          <cell r="G1020" t="str">
            <v>HOSE</v>
          </cell>
          <cell r="H1020">
            <v>75011625</v>
          </cell>
        </row>
        <row r="1021">
          <cell r="D1021" t="str">
            <v>PMG</v>
          </cell>
          <cell r="E1021" t="str">
            <v>CTCP Đầu tư và Sản xuất Petro Miền Trung</v>
          </cell>
          <cell r="F1021" t="str">
            <v>Bán buôn hàng tiêu dùng</v>
          </cell>
          <cell r="G1021" t="str">
            <v>HOSE</v>
          </cell>
          <cell r="H1021">
            <v>46336278</v>
          </cell>
        </row>
        <row r="1022">
          <cell r="D1022" t="str">
            <v>PMJ</v>
          </cell>
          <cell r="E1022" t="str">
            <v>CTCP Vật tư Bưu Điện</v>
          </cell>
          <cell r="F1022" t="str">
            <v>Bán buôn hàng tiêu dùng</v>
          </cell>
          <cell r="G1022" t="str">
            <v>UPCoM</v>
          </cell>
          <cell r="H1022">
            <v>1800000</v>
          </cell>
        </row>
        <row r="1023">
          <cell r="D1023" t="str">
            <v>PMP</v>
          </cell>
          <cell r="E1023" t="str">
            <v>CTCP Bao bì đạm Phú Mỹ</v>
          </cell>
          <cell r="F1023" t="str">
            <v>Sản xuất các sản phẩm nhựa và cao su</v>
          </cell>
          <cell r="G1023" t="str">
            <v>HNX</v>
          </cell>
          <cell r="H1023">
            <v>4200000</v>
          </cell>
        </row>
        <row r="1024">
          <cell r="D1024" t="str">
            <v>PMS</v>
          </cell>
          <cell r="E1024" t="str">
            <v>CTCP Cơ khí Xăng dầu</v>
          </cell>
          <cell r="F1024" t="str">
            <v>Sản xuất sản phẩm kim loại tổng hợp</v>
          </cell>
          <cell r="G1024" t="str">
            <v>HNX</v>
          </cell>
          <cell r="H1024">
            <v>7227662</v>
          </cell>
        </row>
        <row r="1025">
          <cell r="D1025" t="str">
            <v>PMT</v>
          </cell>
          <cell r="E1025" t="str">
            <v>CTCP Viễn thông TELVINA Việt Nam</v>
          </cell>
          <cell r="F1025" t="str">
            <v>Viễn thông</v>
          </cell>
          <cell r="G1025" t="str">
            <v>UPCoM</v>
          </cell>
          <cell r="H1025">
            <v>5000000</v>
          </cell>
        </row>
        <row r="1026">
          <cell r="D1026" t="str">
            <v>PMW</v>
          </cell>
          <cell r="E1026" t="str">
            <v>CTCP Cấp nước Phú Mỹ</v>
          </cell>
          <cell r="F1026" t="str">
            <v>Nước, chất thải và các hệ thống khác</v>
          </cell>
          <cell r="G1026" t="str">
            <v>UPCoM</v>
          </cell>
          <cell r="H1026">
            <v>40000000</v>
          </cell>
        </row>
        <row r="1027">
          <cell r="D1027" t="str">
            <v>PNC</v>
          </cell>
          <cell r="E1027" t="str">
            <v>CTCP Văn hóa Phương Nam</v>
          </cell>
          <cell r="F1027" t="str">
            <v>Bán lẻ hàng hóa khác</v>
          </cell>
          <cell r="G1027" t="str">
            <v>HOSE</v>
          </cell>
          <cell r="H1027">
            <v>11040241</v>
          </cell>
        </row>
        <row r="1028">
          <cell r="D1028" t="str">
            <v>PND</v>
          </cell>
          <cell r="E1028" t="str">
            <v>CTCP Xăng dầu Dầu khí Nam Định</v>
          </cell>
          <cell r="F1028" t="str">
            <v>Bán buôn hàng tiêu dùng</v>
          </cell>
          <cell r="G1028" t="str">
            <v>UPCoM</v>
          </cell>
          <cell r="H1028">
            <v>6666666</v>
          </cell>
        </row>
        <row r="1029">
          <cell r="D1029" t="str">
            <v>PNG</v>
          </cell>
          <cell r="E1029" t="str">
            <v>CTCP Thương mại Phú Nhuận</v>
          </cell>
          <cell r="F1029" t="str">
            <v>Cửa hàng đồ nội thất và đồ dùng gia đình</v>
          </cell>
          <cell r="G1029" t="str">
            <v>UPCoM</v>
          </cell>
          <cell r="H1029">
            <v>9000000</v>
          </cell>
        </row>
        <row r="1030">
          <cell r="D1030" t="str">
            <v>PNJ</v>
          </cell>
          <cell r="E1030" t="str">
            <v>CTCP Vàng bạc Đá quý Phú Nhuận</v>
          </cell>
          <cell r="F1030" t="str">
            <v>Sản xuất sản phẩm kim loại tổng hợp</v>
          </cell>
          <cell r="G1030" t="str">
            <v>HOSE</v>
          </cell>
          <cell r="H1030">
            <v>227612362</v>
          </cell>
        </row>
        <row r="1031">
          <cell r="D1031" t="str">
            <v>PNP</v>
          </cell>
          <cell r="E1031" t="str">
            <v>CTCP Tân Cảng - Phú Hữu</v>
          </cell>
          <cell r="F1031" t="str">
            <v>Hỗ trợ vận tải</v>
          </cell>
          <cell r="G1031" t="str">
            <v>UPCoM</v>
          </cell>
          <cell r="H1031">
            <v>16100000</v>
          </cell>
        </row>
        <row r="1032">
          <cell r="D1032" t="str">
            <v>PNT</v>
          </cell>
          <cell r="E1032" t="str">
            <v>CTCP Kỹ thuật Xây dựng Phú Nhuận</v>
          </cell>
          <cell r="F1032" t="str">
            <v>Phát triển bất động sản</v>
          </cell>
          <cell r="G1032" t="str">
            <v>UPCoM</v>
          </cell>
          <cell r="H1032">
            <v>9282802</v>
          </cell>
        </row>
        <row r="1033">
          <cell r="D1033" t="str">
            <v>POB</v>
          </cell>
          <cell r="E1033" t="str">
            <v>CTCP Xăng dầu Dầu khí Thái Bình</v>
          </cell>
          <cell r="F1033" t="str">
            <v>Bán buôn hàng tiêu dùng</v>
          </cell>
          <cell r="G1033" t="str">
            <v>UPCoM</v>
          </cell>
          <cell r="H1033">
            <v>10900000</v>
          </cell>
        </row>
        <row r="1034">
          <cell r="D1034" t="str">
            <v>POM</v>
          </cell>
          <cell r="E1034" t="str">
            <v>CTCP Thép Pomina</v>
          </cell>
          <cell r="F1034" t="str">
            <v>Sản xuất các sản phẩm kim loại cơ bản</v>
          </cell>
          <cell r="G1034" t="str">
            <v>HOSE</v>
          </cell>
          <cell r="H1034">
            <v>279676336</v>
          </cell>
        </row>
        <row r="1035">
          <cell r="D1035" t="str">
            <v>POS</v>
          </cell>
          <cell r="E1035" t="str">
            <v>CTCP Dịch vụ Lắp đặt, Vận hành và Bảo dưỡng Công trình Dầu khí Biển PTSC</v>
          </cell>
          <cell r="F1035" t="str">
            <v>Các hoạt động hỗ trợ Khai khoáng</v>
          </cell>
          <cell r="G1035" t="str">
            <v>UPCoM</v>
          </cell>
          <cell r="H1035">
            <v>40000000</v>
          </cell>
        </row>
        <row r="1036">
          <cell r="D1036" t="str">
            <v>POT</v>
          </cell>
          <cell r="E1036" t="str">
            <v>CTCP Thiết bị Bưu điện</v>
          </cell>
          <cell r="F1036" t="str">
            <v>Sản xuất các sản phẩm điện tử, vi tính</v>
          </cell>
          <cell r="G1036" t="str">
            <v>HNX</v>
          </cell>
          <cell r="H1036">
            <v>19430006</v>
          </cell>
        </row>
        <row r="1037">
          <cell r="D1037" t="str">
            <v>POV</v>
          </cell>
          <cell r="E1037" t="str">
            <v>CTCP Xăng dầu Dầu khí Vũng Áng</v>
          </cell>
          <cell r="F1037" t="str">
            <v>Bán buôn hàng tiêu dùng</v>
          </cell>
          <cell r="G1037" t="str">
            <v>UPCoM</v>
          </cell>
          <cell r="H1037">
            <v>12499612</v>
          </cell>
        </row>
        <row r="1038">
          <cell r="D1038" t="str">
            <v>POW</v>
          </cell>
          <cell r="E1038" t="str">
            <v>Tổng Công ty Điện lực Dầu khí Việt Nam - CTCP</v>
          </cell>
          <cell r="F1038" t="str">
            <v>Phát, truyền tải và phân phối điện năng</v>
          </cell>
          <cell r="G1038" t="str">
            <v>HOSE</v>
          </cell>
          <cell r="H1038">
            <v>2341871600</v>
          </cell>
        </row>
        <row r="1039">
          <cell r="D1039" t="str">
            <v>PPC</v>
          </cell>
          <cell r="E1039" t="str">
            <v>CTCP Nhiệt điện Phả Lại</v>
          </cell>
          <cell r="F1039" t="str">
            <v>Phát, truyền tải và phân phối điện năng</v>
          </cell>
          <cell r="G1039" t="str">
            <v>HOSE</v>
          </cell>
          <cell r="H1039">
            <v>326235000</v>
          </cell>
        </row>
        <row r="1040">
          <cell r="D1040" t="str">
            <v>PPE</v>
          </cell>
          <cell r="E1040" t="str">
            <v>CTCP Tư vấn Điện lực Dầu khí Việt Nam</v>
          </cell>
          <cell r="F1040" t="str">
            <v>Kiến trúc, tư vấn xây dựng và dịch vụ liên quan</v>
          </cell>
          <cell r="G1040" t="str">
            <v>HNX</v>
          </cell>
          <cell r="H1040">
            <v>2000000</v>
          </cell>
        </row>
        <row r="1041">
          <cell r="D1041" t="str">
            <v>PPH</v>
          </cell>
          <cell r="E1041" t="str">
            <v>Tổng Công ty cổ phần Phong Phú</v>
          </cell>
          <cell r="F1041" t="str">
            <v>Sản xuất sợi, vải</v>
          </cell>
          <cell r="G1041" t="str">
            <v>UPCoM</v>
          </cell>
          <cell r="H1041">
            <v>74670891</v>
          </cell>
        </row>
        <row r="1042">
          <cell r="D1042" t="str">
            <v>PPI</v>
          </cell>
          <cell r="E1042" t="str">
            <v>CTCP Đầu tư và Phát triển Dự án Hạ tầng Thái Bình Dương</v>
          </cell>
          <cell r="F1042" t="str">
            <v>Phát triển bất động sản</v>
          </cell>
          <cell r="G1042" t="str">
            <v>UPCoM</v>
          </cell>
          <cell r="H1042">
            <v>48290629</v>
          </cell>
        </row>
        <row r="1043">
          <cell r="D1043" t="str">
            <v>PPP</v>
          </cell>
          <cell r="E1043" t="str">
            <v>CTCP Dược phẩm Phong Phú</v>
          </cell>
          <cell r="F1043" t="str">
            <v>Sản xuất hóa chất, dược phẩm</v>
          </cell>
          <cell r="G1043" t="str">
            <v>HNX</v>
          </cell>
          <cell r="H1043">
            <v>8799991</v>
          </cell>
        </row>
        <row r="1044">
          <cell r="D1044" t="str">
            <v>PPS</v>
          </cell>
          <cell r="E1044" t="str">
            <v>CTCP Dịch vụ Kỹ thuật Điện lực Dầu khí Việt Nam</v>
          </cell>
          <cell r="F1044" t="str">
            <v>Xây dựng công nghiệp nặng và dân dụng</v>
          </cell>
          <cell r="G1044" t="str">
            <v>HNX</v>
          </cell>
          <cell r="H1044">
            <v>15000000</v>
          </cell>
        </row>
        <row r="1045">
          <cell r="D1045" t="str">
            <v>PPY</v>
          </cell>
          <cell r="E1045" t="str">
            <v>CTCP Xăng dầu Dầu khí Phú Yên</v>
          </cell>
          <cell r="F1045" t="str">
            <v>Bán buôn hàng tiêu dùng</v>
          </cell>
          <cell r="G1045" t="str">
            <v>HNX</v>
          </cell>
          <cell r="H1045">
            <v>8651926</v>
          </cell>
        </row>
        <row r="1046">
          <cell r="D1046" t="str">
            <v>PQN</v>
          </cell>
          <cell r="E1046" t="str">
            <v>CTCP Dịch vụ Dầu khí Quảng Ngãi PTSC</v>
          </cell>
          <cell r="F1046" t="str">
            <v>Xây dựng công nghiệp nặng và dân dụng</v>
          </cell>
          <cell r="G1046" t="str">
            <v>UPCoM</v>
          </cell>
          <cell r="H1046">
            <v>30000000</v>
          </cell>
        </row>
        <row r="1047">
          <cell r="D1047" t="str">
            <v>PRC</v>
          </cell>
          <cell r="E1047" t="str">
            <v>CTCP Logistics Portserco</v>
          </cell>
          <cell r="F1047" t="str">
            <v>Vận tải đường bộ</v>
          </cell>
          <cell r="G1047" t="str">
            <v>HNX</v>
          </cell>
          <cell r="H1047">
            <v>1200000</v>
          </cell>
        </row>
        <row r="1048">
          <cell r="D1048" t="str">
            <v>PRE</v>
          </cell>
          <cell r="E1048" t="str">
            <v>Tổng Công ty cổ phần Tái bảo hiểm PVI</v>
          </cell>
          <cell r="F1048" t="str">
            <v>Bảo hiểm và các hoạt động liên quan</v>
          </cell>
          <cell r="G1048" t="str">
            <v>HNX</v>
          </cell>
          <cell r="H1048">
            <v>72800000</v>
          </cell>
        </row>
        <row r="1049">
          <cell r="D1049" t="str">
            <v>PRO</v>
          </cell>
          <cell r="E1049" t="str">
            <v>CTCP Procimex Việt Nam</v>
          </cell>
          <cell r="F1049" t="str">
            <v>Sản xuất thực phẩm</v>
          </cell>
          <cell r="G1049" t="str">
            <v>UPCoM</v>
          </cell>
          <cell r="H1049">
            <v>3000000</v>
          </cell>
        </row>
        <row r="1050">
          <cell r="D1050" t="str">
            <v>PRT</v>
          </cell>
          <cell r="E1050" t="str">
            <v>Tổng Công ty Sản xuất - Xuất nhập khẩu Bình Dương - CTCP</v>
          </cell>
          <cell r="F1050" t="str">
            <v>Sản xuất khác</v>
          </cell>
          <cell r="G1050" t="str">
            <v>UPCoM</v>
          </cell>
          <cell r="H1050">
            <v>300000000</v>
          </cell>
        </row>
        <row r="1051">
          <cell r="D1051" t="str">
            <v>PSB</v>
          </cell>
          <cell r="E1051" t="str">
            <v>CTCP Đầu tư Dầu khí Sao Mai - Bến Đình</v>
          </cell>
          <cell r="F1051" t="str">
            <v>Các hoạt động hỗ trợ Khai khoáng</v>
          </cell>
          <cell r="G1051" t="str">
            <v>UPCoM</v>
          </cell>
          <cell r="H1051">
            <v>50000000</v>
          </cell>
        </row>
        <row r="1052">
          <cell r="D1052" t="str">
            <v>PSC</v>
          </cell>
          <cell r="E1052" t="str">
            <v>CTCP Vận tải và Dịch vụ Petrolimex Sài Gòn</v>
          </cell>
          <cell r="F1052" t="str">
            <v>Bán buôn hàng tiêu dùng</v>
          </cell>
          <cell r="G1052" t="str">
            <v>HNX</v>
          </cell>
          <cell r="H1052">
            <v>7200000</v>
          </cell>
        </row>
        <row r="1053">
          <cell r="D1053" t="str">
            <v>PSD</v>
          </cell>
          <cell r="E1053" t="str">
            <v>CTCP Dịch vụ Phân phối Tổng hợp Dầu khí</v>
          </cell>
          <cell r="F1053" t="str">
            <v>Bán buôn hàng lâu bền</v>
          </cell>
          <cell r="G1053" t="str">
            <v>HNX</v>
          </cell>
          <cell r="H1053">
            <v>30682623</v>
          </cell>
        </row>
        <row r="1054">
          <cell r="D1054" t="str">
            <v>PSE</v>
          </cell>
          <cell r="E1054" t="str">
            <v>CTCP Phân Bón và Hóa Chất Dầu khí Đông Nam Bộ</v>
          </cell>
          <cell r="F1054" t="str">
            <v>Bán buôn hàng tiêu dùng</v>
          </cell>
          <cell r="G1054" t="str">
            <v>HNX</v>
          </cell>
          <cell r="H1054">
            <v>12500000</v>
          </cell>
        </row>
        <row r="1055">
          <cell r="D1055" t="str">
            <v>PSG</v>
          </cell>
          <cell r="E1055" t="str">
            <v>CTCP Đầu Tư và Xây lắp Dầu khí Sài Gòn</v>
          </cell>
          <cell r="F1055" t="str">
            <v>Bất động sản</v>
          </cell>
          <cell r="G1055" t="str">
            <v>UPCoM</v>
          </cell>
          <cell r="H1055">
            <v>35000000</v>
          </cell>
        </row>
        <row r="1056">
          <cell r="D1056" t="str">
            <v>PSH</v>
          </cell>
          <cell r="E1056" t="str">
            <v>CTCP Thương mại Đầu tư Dầu khí Nam Sông Hậu</v>
          </cell>
          <cell r="F1056" t="str">
            <v>Bán buôn hàng tiêu dùng</v>
          </cell>
          <cell r="G1056" t="str">
            <v>HOSE</v>
          </cell>
          <cell r="H1056"/>
        </row>
        <row r="1057">
          <cell r="D1057" t="str">
            <v>PSI</v>
          </cell>
          <cell r="E1057" t="str">
            <v>CTCP Chứng khoán Dầu khí</v>
          </cell>
          <cell r="F1057" t="str">
            <v>Môi giới chứng khoán, hàng hóa, đầu tư tài chính khác và các hoạt động liên quan</v>
          </cell>
          <cell r="G1057" t="str">
            <v>HNX</v>
          </cell>
          <cell r="H1057">
            <v>59841300</v>
          </cell>
        </row>
        <row r="1058">
          <cell r="D1058" t="str">
            <v>PSL</v>
          </cell>
          <cell r="E1058" t="str">
            <v>CTCP Chăn nuôi Phú Sơn</v>
          </cell>
          <cell r="F1058" t="str">
            <v>Chăn nuôi</v>
          </cell>
          <cell r="G1058" t="str">
            <v>UPCoM</v>
          </cell>
          <cell r="H1058">
            <v>11812500</v>
          </cell>
        </row>
        <row r="1059">
          <cell r="D1059" t="str">
            <v>PSN</v>
          </cell>
          <cell r="E1059" t="str">
            <v>CTCP Cảng Dịch vụ Dầu khí Tổng hợp PTSC Thanh Hóa</v>
          </cell>
          <cell r="F1059" t="str">
            <v>Hỗ trợ vận tải</v>
          </cell>
          <cell r="G1059" t="str">
            <v>UPCoM</v>
          </cell>
          <cell r="H1059">
            <v>40000000</v>
          </cell>
        </row>
        <row r="1060">
          <cell r="D1060" t="str">
            <v>PSP</v>
          </cell>
          <cell r="E1060" t="str">
            <v>CTCP Cảng Dịch vụ Dầu khí Đình Vũ</v>
          </cell>
          <cell r="F1060" t="str">
            <v>Hỗ trợ vận tải</v>
          </cell>
          <cell r="G1060" t="str">
            <v>UPCoM</v>
          </cell>
          <cell r="H1060">
            <v>22500000</v>
          </cell>
        </row>
        <row r="1061">
          <cell r="D1061" t="str">
            <v>PSW</v>
          </cell>
          <cell r="E1061" t="str">
            <v>CTCP Phân bón và Hóa chất Dầu khí Tây Nam Bộ</v>
          </cell>
          <cell r="F1061" t="str">
            <v>Hoạt động hỗ trợ cho nông lâm nghiệp</v>
          </cell>
          <cell r="G1061" t="str">
            <v>HNX</v>
          </cell>
          <cell r="H1061">
            <v>17000000</v>
          </cell>
        </row>
        <row r="1062">
          <cell r="D1062" t="str">
            <v>PTB</v>
          </cell>
          <cell r="E1062" t="str">
            <v>CTCP Phú Tài</v>
          </cell>
          <cell r="F1062" t="str">
            <v>Bán buôn hàng lâu bền</v>
          </cell>
          <cell r="G1062" t="str">
            <v>HOSE</v>
          </cell>
          <cell r="H1062">
            <v>48599441</v>
          </cell>
        </row>
        <row r="1063">
          <cell r="D1063" t="str">
            <v>PTC</v>
          </cell>
          <cell r="E1063" t="str">
            <v>CTCP Đầu tư và Xây dựng Bưu điện</v>
          </cell>
          <cell r="F1063" t="str">
            <v>Nhà thầu chuyên môn</v>
          </cell>
          <cell r="G1063" t="str">
            <v>HOSE</v>
          </cell>
          <cell r="H1063">
            <v>17999999</v>
          </cell>
        </row>
        <row r="1064">
          <cell r="D1064" t="str">
            <v>PTD</v>
          </cell>
          <cell r="E1064" t="str">
            <v>CTCP Thiết kế Xây dựng Thương mại Phúc Thịnh</v>
          </cell>
          <cell r="F1064" t="str">
            <v>Xây dựng nhà cửa, cao ốc</v>
          </cell>
          <cell r="G1064" t="str">
            <v>HNX</v>
          </cell>
          <cell r="H1064">
            <v>3200000</v>
          </cell>
        </row>
        <row r="1065">
          <cell r="D1065" t="str">
            <v>PTE</v>
          </cell>
          <cell r="E1065" t="str">
            <v>CTCP Xi măng Phú Thọ</v>
          </cell>
          <cell r="F1065" t="str">
            <v>Sản xuất sản phẩm khoáng chất phi kim</v>
          </cell>
          <cell r="G1065" t="str">
            <v>UPCoM</v>
          </cell>
          <cell r="H1065">
            <v>12500000</v>
          </cell>
        </row>
        <row r="1066">
          <cell r="D1066" t="str">
            <v>PTG</v>
          </cell>
          <cell r="E1066" t="str">
            <v>CTCP May Xuất khẩu Phan Thiết</v>
          </cell>
          <cell r="F1066" t="str">
            <v>Sản xuất các sản phẩm may mặc</v>
          </cell>
          <cell r="G1066" t="str">
            <v>UPCoM</v>
          </cell>
          <cell r="H1066">
            <v>4864385</v>
          </cell>
        </row>
        <row r="1067">
          <cell r="D1067" t="str">
            <v>PTH</v>
          </cell>
          <cell r="E1067" t="str">
            <v>CTCP Vận tải và Dịch vụ Petrolimex Hà Tây</v>
          </cell>
          <cell r="F1067" t="str">
            <v>Cửa hàng đồ nội thất và đồ dùng gia đình</v>
          </cell>
          <cell r="G1067" t="str">
            <v>UPCoM</v>
          </cell>
          <cell r="H1067">
            <v>3503164</v>
          </cell>
        </row>
        <row r="1068">
          <cell r="D1068" t="str">
            <v>PTI</v>
          </cell>
          <cell r="E1068" t="str">
            <v>Tổng Công ty cổ phần Bảo hiểm Bưu điện</v>
          </cell>
          <cell r="F1068" t="str">
            <v>Bảo hiểm và các hoạt động liên quan</v>
          </cell>
          <cell r="G1068" t="str">
            <v>HNX</v>
          </cell>
          <cell r="H1068">
            <v>80395709</v>
          </cell>
        </row>
        <row r="1069">
          <cell r="D1069" t="str">
            <v>PTL</v>
          </cell>
          <cell r="E1069" t="str">
            <v>CTCP Đầu tư Hạ tầng và Đô thị Dầu khí</v>
          </cell>
          <cell r="F1069" t="str">
            <v>Bất động sản</v>
          </cell>
          <cell r="G1069" t="str">
            <v>HOSE</v>
          </cell>
          <cell r="H1069">
            <v>100000000</v>
          </cell>
        </row>
        <row r="1070">
          <cell r="D1070" t="str">
            <v>PTO</v>
          </cell>
          <cell r="E1070" t="str">
            <v>CTCP Dịch vụ - Xây dựng Công trình Bưu Điện</v>
          </cell>
          <cell r="F1070" t="str">
            <v>Xây dựng công nghiệp nặng và dân dụng</v>
          </cell>
          <cell r="G1070" t="str">
            <v>UPCoM</v>
          </cell>
          <cell r="H1070">
            <v>1200000</v>
          </cell>
        </row>
        <row r="1071">
          <cell r="D1071" t="str">
            <v>PTP</v>
          </cell>
          <cell r="E1071" t="str">
            <v>CTCP Dịch vụ Viễn thông và In Bưu điện</v>
          </cell>
          <cell r="F1071" t="str">
            <v>Viễn thông</v>
          </cell>
          <cell r="G1071" t="str">
            <v>UPCoM</v>
          </cell>
          <cell r="H1071">
            <v>6800000</v>
          </cell>
        </row>
        <row r="1072">
          <cell r="D1072" t="str">
            <v>PTS</v>
          </cell>
          <cell r="E1072" t="str">
            <v>CTCP Vận tải và Dịch vụ Petrolimex Hải Phòng</v>
          </cell>
          <cell r="F1072" t="str">
            <v>Vận tải đường thủy</v>
          </cell>
          <cell r="G1072" t="str">
            <v>HNX</v>
          </cell>
          <cell r="H1072">
            <v>5568000</v>
          </cell>
        </row>
        <row r="1073">
          <cell r="D1073" t="str">
            <v>PTT</v>
          </cell>
          <cell r="E1073" t="str">
            <v>CTCP Vận tải Dầu khí Đông Dương</v>
          </cell>
          <cell r="F1073" t="str">
            <v>Vận tải đường bộ</v>
          </cell>
          <cell r="G1073" t="str">
            <v>UPCoM</v>
          </cell>
          <cell r="H1073">
            <v>10000000</v>
          </cell>
        </row>
        <row r="1074">
          <cell r="D1074" t="str">
            <v>PTV</v>
          </cell>
          <cell r="E1074" t="str">
            <v>CTCP Thương mại Dầu khí</v>
          </cell>
          <cell r="F1074" t="str">
            <v>Bán buôn hàng tiêu dùng</v>
          </cell>
          <cell r="G1074" t="str">
            <v>UPCoM</v>
          </cell>
          <cell r="H1074">
            <v>20000000</v>
          </cell>
        </row>
        <row r="1075">
          <cell r="D1075" t="str">
            <v>PTX</v>
          </cell>
          <cell r="E1075" t="str">
            <v>CTCP Vận tải và Dịch vụ Petrolimex Nghệ Tĩnh</v>
          </cell>
          <cell r="F1075" t="str">
            <v>Bán buôn hàng tiêu dùng</v>
          </cell>
          <cell r="G1075" t="str">
            <v>UPCoM</v>
          </cell>
          <cell r="H1075">
            <v>5847685</v>
          </cell>
        </row>
        <row r="1076">
          <cell r="D1076" t="str">
            <v>PV2</v>
          </cell>
          <cell r="E1076" t="str">
            <v>CTCP Đầu tư PV2</v>
          </cell>
          <cell r="F1076" t="str">
            <v>Bất động sản</v>
          </cell>
          <cell r="G1076" t="str">
            <v>HNX</v>
          </cell>
          <cell r="H1076">
            <v>37350000</v>
          </cell>
        </row>
        <row r="1077">
          <cell r="D1077" t="str">
            <v>PVA</v>
          </cell>
          <cell r="E1077" t="str">
            <v>CTCP Tổng Công ty Xây lắp Dầu khí Nghệ An</v>
          </cell>
          <cell r="F1077" t="str">
            <v>Xây dựng nhà cửa, cao ốc</v>
          </cell>
          <cell r="G1077" t="str">
            <v>UPCoM</v>
          </cell>
          <cell r="H1077">
            <v>21846000</v>
          </cell>
        </row>
        <row r="1078">
          <cell r="D1078" t="str">
            <v>PVB</v>
          </cell>
          <cell r="E1078" t="str">
            <v>CTCP Bọc ống Dầu khí Việt Nam</v>
          </cell>
          <cell r="F1078" t="str">
            <v>Các hoạt động hỗ trợ Khai khoáng</v>
          </cell>
          <cell r="G1078" t="str">
            <v>HNX</v>
          </cell>
          <cell r="H1078">
            <v>21599998</v>
          </cell>
        </row>
        <row r="1079">
          <cell r="D1079" t="str">
            <v>PVC</v>
          </cell>
          <cell r="E1079" t="str">
            <v>Tổng Công ty Hóa chất và Dịch vụ Dầu khí - CTCP</v>
          </cell>
          <cell r="F1079" t="str">
            <v>Các hoạt động hỗ trợ Khai khoáng</v>
          </cell>
          <cell r="G1079" t="str">
            <v>HNX</v>
          </cell>
          <cell r="H1079">
            <v>50000000</v>
          </cell>
        </row>
        <row r="1080">
          <cell r="D1080" t="str">
            <v>PVD</v>
          </cell>
          <cell r="E1080" t="str">
            <v>Tổng Công ty cổ phần Khoan và Dịch vụ khoan Dầu khí</v>
          </cell>
          <cell r="F1080" t="str">
            <v>Các hoạt động hỗ trợ Khai khoáng</v>
          </cell>
          <cell r="G1080" t="str">
            <v>HOSE</v>
          </cell>
          <cell r="H1080">
            <v>421545789</v>
          </cell>
        </row>
        <row r="1081">
          <cell r="D1081" t="str">
            <v>PVE</v>
          </cell>
          <cell r="E1081" t="str">
            <v>Tổng Công ty Tư vấn thiết kế Dầu khí - CTCP</v>
          </cell>
          <cell r="F1081" t="str">
            <v>Kiến trúc, tư vấn xây dựng và dịch vụ liên quan</v>
          </cell>
          <cell r="G1081" t="str">
            <v>UPCoM</v>
          </cell>
          <cell r="H1081">
            <v>25000000</v>
          </cell>
        </row>
        <row r="1082">
          <cell r="D1082" t="str">
            <v>PVG</v>
          </cell>
          <cell r="E1082" t="str">
            <v>CTCP Kinh doanh LPG Việt Nam</v>
          </cell>
          <cell r="F1082" t="str">
            <v>Phân phối khí đốt thiên nhiên</v>
          </cell>
          <cell r="G1082" t="str">
            <v>HNX</v>
          </cell>
          <cell r="H1082">
            <v>36500000</v>
          </cell>
        </row>
        <row r="1083">
          <cell r="D1083" t="str">
            <v>PVH</v>
          </cell>
          <cell r="E1083" t="str">
            <v>CTCP Xây lắp Dầu khí Thanh Hóa</v>
          </cell>
          <cell r="F1083" t="str">
            <v>Xây dựng công nghiệp nặng và dân dụng</v>
          </cell>
          <cell r="G1083" t="str">
            <v>UPCoM</v>
          </cell>
          <cell r="H1083">
            <v>21000000</v>
          </cell>
        </row>
        <row r="1084">
          <cell r="D1084" t="str">
            <v>PVI</v>
          </cell>
          <cell r="E1084" t="str">
            <v>CTCP PVI</v>
          </cell>
          <cell r="F1084" t="str">
            <v>Bảo hiểm và các hoạt động liên quan</v>
          </cell>
          <cell r="G1084" t="str">
            <v>HNX</v>
          </cell>
          <cell r="H1084">
            <v>234241867</v>
          </cell>
        </row>
        <row r="1085">
          <cell r="D1085" t="str">
            <v>PVL</v>
          </cell>
          <cell r="E1085" t="str">
            <v>CTCP Đầu tư Nhà Đất Việt</v>
          </cell>
          <cell r="F1085" t="str">
            <v>Bất động sản</v>
          </cell>
          <cell r="G1085" t="str">
            <v>HNX</v>
          </cell>
          <cell r="H1085">
            <v>50000000</v>
          </cell>
        </row>
        <row r="1086">
          <cell r="D1086" t="str">
            <v>PVM</v>
          </cell>
          <cell r="E1086" t="str">
            <v>CTCP Máy - Thiết bị Dầu khí</v>
          </cell>
          <cell r="F1086" t="str">
            <v>Sản xuất thiết bị, máy móc</v>
          </cell>
          <cell r="G1086" t="str">
            <v>UPCoM</v>
          </cell>
          <cell r="H1086">
            <v>38638600</v>
          </cell>
        </row>
        <row r="1087">
          <cell r="D1087" t="str">
            <v>PVO</v>
          </cell>
          <cell r="E1087" t="str">
            <v>CTCP Dầu nhờn PV Oil</v>
          </cell>
          <cell r="F1087" t="str">
            <v>Bán buôn hàng tiêu dùng</v>
          </cell>
          <cell r="G1087" t="str">
            <v>UPCoM</v>
          </cell>
          <cell r="H1087">
            <v>8900000</v>
          </cell>
        </row>
        <row r="1088">
          <cell r="D1088" t="str">
            <v>PVP</v>
          </cell>
          <cell r="E1088" t="str">
            <v>CTCP Vận tải Dầu khí Thái Bình Dương</v>
          </cell>
          <cell r="F1088" t="str">
            <v>Hỗ trợ vận tải</v>
          </cell>
          <cell r="G1088" t="str">
            <v>UPCoM</v>
          </cell>
          <cell r="H1088">
            <v>94275028</v>
          </cell>
        </row>
        <row r="1089">
          <cell r="D1089" t="str">
            <v>PVR</v>
          </cell>
          <cell r="E1089" t="str">
            <v>CTCP Đầu tư PVR Hà Nội</v>
          </cell>
          <cell r="F1089" t="str">
            <v>Môi giới chứng khoán, hàng hóa, đầu tư tài chính khác và các hoạt động liên quan</v>
          </cell>
          <cell r="G1089" t="str">
            <v>UPCoM</v>
          </cell>
          <cell r="H1089">
            <v>53100913</v>
          </cell>
        </row>
        <row r="1090">
          <cell r="D1090" t="str">
            <v>PVS</v>
          </cell>
          <cell r="E1090" t="str">
            <v>Tổng Công ty cổ phần Dịch vụ Kỹ thuật Dầu khí Việt Nam</v>
          </cell>
          <cell r="F1090" t="str">
            <v>Các hoạt động hỗ trợ Khai khoáng</v>
          </cell>
          <cell r="G1090" t="str">
            <v>HNX</v>
          </cell>
          <cell r="H1090">
            <v>477966290</v>
          </cell>
        </row>
        <row r="1091">
          <cell r="D1091" t="str">
            <v>PVT</v>
          </cell>
          <cell r="E1091" t="str">
            <v>Tổng Công ty cổ phần Vận tải Dầu khí</v>
          </cell>
          <cell r="F1091" t="str">
            <v>Vận tải đường thủy</v>
          </cell>
          <cell r="G1091" t="str">
            <v>HOSE</v>
          </cell>
          <cell r="H1091">
            <v>323651246</v>
          </cell>
        </row>
        <row r="1092">
          <cell r="D1092" t="str">
            <v>PVV</v>
          </cell>
          <cell r="E1092" t="str">
            <v>CTCP Vinaconex 39</v>
          </cell>
          <cell r="F1092" t="str">
            <v>Phát triển bất động sản</v>
          </cell>
          <cell r="G1092" t="str">
            <v>UPCoM</v>
          </cell>
          <cell r="H1092">
            <v>30000000</v>
          </cell>
        </row>
        <row r="1093">
          <cell r="D1093" t="str">
            <v>PVX</v>
          </cell>
          <cell r="E1093" t="str">
            <v>Tổng Công ty cổ phần Xây lắp Dầu khí Việt Nam</v>
          </cell>
          <cell r="F1093" t="str">
            <v>Xây dựng công nghiệp nặng và dân dụng</v>
          </cell>
          <cell r="G1093" t="str">
            <v>UPCoM</v>
          </cell>
          <cell r="H1093">
            <v>400000000</v>
          </cell>
        </row>
        <row r="1094">
          <cell r="D1094" t="str">
            <v>PVY</v>
          </cell>
          <cell r="E1094" t="str">
            <v>CTCP Chế tạo Giàn khoan Dầu khí</v>
          </cell>
          <cell r="F1094" t="str">
            <v>Xây dựng công nghiệp nặng và dân dụng</v>
          </cell>
          <cell r="G1094" t="str">
            <v>UPCoM</v>
          </cell>
          <cell r="H1094">
            <v>59489787</v>
          </cell>
        </row>
        <row r="1095">
          <cell r="D1095" t="str">
            <v>PWA</v>
          </cell>
          <cell r="E1095" t="str">
            <v>CTCP Bất động sản Dầu khí</v>
          </cell>
          <cell r="F1095" t="str">
            <v>Bất động sản</v>
          </cell>
          <cell r="G1095" t="str">
            <v>UPCoM</v>
          </cell>
          <cell r="H1095">
            <v>10000000</v>
          </cell>
        </row>
        <row r="1096">
          <cell r="D1096" t="str">
            <v>PWS</v>
          </cell>
          <cell r="E1096" t="str">
            <v>CTCP Cấp thoát nước Phú Yên</v>
          </cell>
          <cell r="F1096" t="str">
            <v>Nước, chất thải và các hệ thống khác</v>
          </cell>
          <cell r="G1096" t="str">
            <v>UPCoM</v>
          </cell>
          <cell r="H1096">
            <v>38398179</v>
          </cell>
        </row>
        <row r="1097">
          <cell r="D1097" t="str">
            <v>PX1</v>
          </cell>
          <cell r="E1097" t="str">
            <v>CTCP Xi măng Sông Lam 2</v>
          </cell>
          <cell r="F1097" t="str">
            <v>Sản xuất sản phẩm khoáng chất phi kim</v>
          </cell>
          <cell r="G1097" t="str">
            <v>UPCoM</v>
          </cell>
          <cell r="H1097">
            <v>20000000</v>
          </cell>
        </row>
        <row r="1098">
          <cell r="D1098" t="str">
            <v>PXA</v>
          </cell>
          <cell r="E1098" t="str">
            <v>CTCP Đầu tư và Thương mại Dầu khí Nghệ An</v>
          </cell>
          <cell r="F1098" t="str">
            <v>Bất động sản</v>
          </cell>
          <cell r="G1098" t="str">
            <v>UPCoM</v>
          </cell>
          <cell r="H1098">
            <v>15000000</v>
          </cell>
        </row>
        <row r="1099">
          <cell r="D1099" t="str">
            <v>PXC</v>
          </cell>
          <cell r="E1099" t="str">
            <v>CTCP Phát triển Đô thị Dầu khí</v>
          </cell>
          <cell r="F1099" t="str">
            <v>Xây dựng công nghiệp nặng và dân dụng</v>
          </cell>
          <cell r="G1099" t="str">
            <v>UPCoM</v>
          </cell>
          <cell r="H1099">
            <v>28068900</v>
          </cell>
        </row>
        <row r="1100">
          <cell r="D1100" t="str">
            <v>PXI</v>
          </cell>
          <cell r="E1100" t="str">
            <v>CTCP Xây dựng Công nghiệp và Dân dụng Dầu khí</v>
          </cell>
          <cell r="F1100" t="str">
            <v>Phát triển bất động sản</v>
          </cell>
          <cell r="G1100" t="str">
            <v>HOSE</v>
          </cell>
          <cell r="H1100">
            <v>30000000</v>
          </cell>
        </row>
        <row r="1101">
          <cell r="D1101" t="str">
            <v>PXL</v>
          </cell>
          <cell r="E1101" t="str">
            <v>CTCP Đầu tư Khu Công nghiệp Dầu khí Long Sơn</v>
          </cell>
          <cell r="F1101" t="str">
            <v>Bất động sản</v>
          </cell>
          <cell r="G1101" t="str">
            <v>UPCoM</v>
          </cell>
          <cell r="H1101">
            <v>82722212</v>
          </cell>
        </row>
        <row r="1102">
          <cell r="D1102" t="str">
            <v>PXM</v>
          </cell>
          <cell r="E1102" t="str">
            <v>CTCP Xây lắp Dầu khí Miền Trung</v>
          </cell>
          <cell r="F1102" t="str">
            <v>Bán buôn hàng lâu bền</v>
          </cell>
          <cell r="G1102" t="str">
            <v>UPCoM</v>
          </cell>
          <cell r="H1102">
            <v>15000000</v>
          </cell>
        </row>
        <row r="1103">
          <cell r="D1103" t="str">
            <v>PXS</v>
          </cell>
          <cell r="E1103" t="str">
            <v>CTCP Kết cấu Kim loại và Lắp máy Dầu khí</v>
          </cell>
          <cell r="F1103" t="str">
            <v>Xây dựng công nghiệp nặng và dân dụng</v>
          </cell>
          <cell r="G1103" t="str">
            <v>HOSE</v>
          </cell>
          <cell r="H1103">
            <v>60000000</v>
          </cell>
        </row>
        <row r="1104">
          <cell r="D1104" t="str">
            <v>PXT</v>
          </cell>
          <cell r="E1104" t="str">
            <v>CTCP Xây lắp Đường ống Bể chứa Dầu khí</v>
          </cell>
          <cell r="F1104" t="str">
            <v>Xây dựng công nghiệp nặng và dân dụng</v>
          </cell>
          <cell r="G1104" t="str">
            <v>UPCoM</v>
          </cell>
          <cell r="H1104">
            <v>20000000</v>
          </cell>
        </row>
        <row r="1105">
          <cell r="D1105" t="str">
            <v>PYU</v>
          </cell>
          <cell r="E1105" t="str">
            <v>CTCP Môi trường và Công trình Đô thị Phúc Yên</v>
          </cell>
          <cell r="F1105" t="str">
            <v>Dịch vụ quản lý và tái chế chất thải</v>
          </cell>
          <cell r="G1105" t="str">
            <v>UPCoM</v>
          </cell>
          <cell r="H1105">
            <v>2073985</v>
          </cell>
        </row>
        <row r="1106">
          <cell r="D1106" t="str">
            <v>QBS</v>
          </cell>
          <cell r="E1106" t="str">
            <v>CTCP Xuất nhập khẩu Quảng Bình</v>
          </cell>
          <cell r="F1106" t="str">
            <v>Bán buôn hàng tiêu dùng</v>
          </cell>
          <cell r="G1106" t="str">
            <v>HNX</v>
          </cell>
          <cell r="H1106"/>
        </row>
        <row r="1107">
          <cell r="D1107" t="str">
            <v>QCC</v>
          </cell>
          <cell r="E1107" t="str">
            <v>CTCP Đầu tư Xây dựng và Phát triển Hạ tầng Viễn thông</v>
          </cell>
          <cell r="F1107" t="str">
            <v>Xây dựng nhà cửa, cao ốc</v>
          </cell>
          <cell r="G1107" t="str">
            <v>UPCoM</v>
          </cell>
          <cell r="H1107">
            <v>1500000</v>
          </cell>
        </row>
        <row r="1108">
          <cell r="D1108" t="str">
            <v>QCG</v>
          </cell>
          <cell r="E1108" t="str">
            <v>CTCP Quốc Cường Gia Lai</v>
          </cell>
          <cell r="F1108" t="str">
            <v>Phát triển bất động sản</v>
          </cell>
          <cell r="G1108" t="str">
            <v>HOSE</v>
          </cell>
          <cell r="H1108">
            <v>275129310</v>
          </cell>
        </row>
        <row r="1109">
          <cell r="D1109" t="str">
            <v>QHD</v>
          </cell>
          <cell r="E1109" t="str">
            <v>CTCP Que hàn điện Việt Đức</v>
          </cell>
          <cell r="F1109" t="str">
            <v>Sản xuất thiết bị, máy móc</v>
          </cell>
          <cell r="G1109" t="str">
            <v>HNX</v>
          </cell>
          <cell r="H1109">
            <v>5524716</v>
          </cell>
        </row>
        <row r="1110">
          <cell r="D1110" t="str">
            <v>QHW</v>
          </cell>
          <cell r="E1110" t="str">
            <v>CTCP Nước khoáng Quảng Ninh</v>
          </cell>
          <cell r="F1110" t="str">
            <v>Sản xuất đồ uống và thuốc lá</v>
          </cell>
          <cell r="G1110" t="str">
            <v>UPCoM</v>
          </cell>
          <cell r="H1110">
            <v>8000000</v>
          </cell>
        </row>
        <row r="1111">
          <cell r="D1111" t="str">
            <v>QLD</v>
          </cell>
          <cell r="E1111" t="str">
            <v>CTCP Quản lý và Xây dựng Giao thông Lạng Sơn</v>
          </cell>
          <cell r="F1111" t="str">
            <v>Xây dựng công nghiệp nặng và dân dụng</v>
          </cell>
          <cell r="G1111" t="str">
            <v>UPCoM</v>
          </cell>
          <cell r="H1111">
            <v>1207400</v>
          </cell>
        </row>
        <row r="1112">
          <cell r="D1112" t="str">
            <v>QLT</v>
          </cell>
          <cell r="E1112" t="str">
            <v>CTCP Quản lý Bảo trì Đường thủy Nội địa Số 10</v>
          </cell>
          <cell r="F1112" t="str">
            <v>Hỗ trợ vận tải</v>
          </cell>
          <cell r="G1112" t="str">
            <v>UPCoM</v>
          </cell>
          <cell r="H1112">
            <v>1500000</v>
          </cell>
        </row>
        <row r="1113">
          <cell r="D1113" t="str">
            <v>QNC</v>
          </cell>
          <cell r="E1113" t="str">
            <v>CTCP Xi măng và Xây dựng Quảng Ninh</v>
          </cell>
          <cell r="F1113" t="str">
            <v>Sản xuất sản phẩm khoáng chất phi kim</v>
          </cell>
          <cell r="G1113" t="str">
            <v>UPCoM</v>
          </cell>
          <cell r="H1113">
            <v>38721909</v>
          </cell>
        </row>
        <row r="1114">
          <cell r="D1114" t="str">
            <v>QNS</v>
          </cell>
          <cell r="E1114" t="str">
            <v>CTCP Đường Quảng Ngãi</v>
          </cell>
          <cell r="F1114" t="str">
            <v>Sản xuất thực phẩm</v>
          </cell>
          <cell r="G1114" t="str">
            <v>UPCoM</v>
          </cell>
          <cell r="H1114">
            <v>356939955</v>
          </cell>
        </row>
        <row r="1115">
          <cell r="D1115" t="str">
            <v>QNT</v>
          </cell>
          <cell r="E1115" t="str">
            <v>Trung tâm Tư vấn xây dựng thị xã Điện Bàn</v>
          </cell>
          <cell r="F1115" t="str">
            <v>Kiến trúc, tư vấn xây dựng và dịch vụ liên quan</v>
          </cell>
          <cell r="G1115" t="str">
            <v>UPCoM</v>
          </cell>
          <cell r="H1115">
            <v>134050</v>
          </cell>
        </row>
        <row r="1116">
          <cell r="D1116" t="str">
            <v>QNU</v>
          </cell>
          <cell r="E1116" t="str">
            <v>CTCP Môi trường Đô thị Quảng Nam</v>
          </cell>
          <cell r="F1116" t="str">
            <v>Nước, chất thải và các hệ thống khác</v>
          </cell>
          <cell r="G1116" t="str">
            <v>UPCoM</v>
          </cell>
          <cell r="H1116">
            <v>6800000</v>
          </cell>
        </row>
        <row r="1117">
          <cell r="D1117" t="str">
            <v>QNW</v>
          </cell>
          <cell r="E1117" t="str">
            <v>CTCP Cấp thoát nước và Xây dựng Quảng Ngãi</v>
          </cell>
          <cell r="F1117" t="str">
            <v>Nước, chất thải và các hệ thống khác</v>
          </cell>
          <cell r="G1117" t="str">
            <v>UPCoM</v>
          </cell>
          <cell r="H1117">
            <v>20000000</v>
          </cell>
        </row>
        <row r="1118">
          <cell r="D1118" t="str">
            <v>QPH</v>
          </cell>
          <cell r="E1118" t="str">
            <v>CTCP Thủy điện Quế Phong</v>
          </cell>
          <cell r="F1118" t="str">
            <v>Phát, truyền tải và phân phối điện năng</v>
          </cell>
          <cell r="G1118" t="str">
            <v>UPCoM</v>
          </cell>
          <cell r="H1118">
            <v>18583100</v>
          </cell>
        </row>
        <row r="1119">
          <cell r="D1119" t="str">
            <v>QSP</v>
          </cell>
          <cell r="E1119" t="str">
            <v>CTCP Tân Cảng Quy Nhơn</v>
          </cell>
          <cell r="F1119" t="str">
            <v>Hỗ trợ vận tải</v>
          </cell>
          <cell r="G1119" t="str">
            <v>UPCoM</v>
          </cell>
          <cell r="H1119">
            <v>10792275</v>
          </cell>
        </row>
        <row r="1120">
          <cell r="D1120" t="str">
            <v>QST</v>
          </cell>
          <cell r="E1120" t="str">
            <v>CTCP Sách và Thiết bị Trường học Quảng Ninh</v>
          </cell>
          <cell r="F1120" t="str">
            <v>Công nghiệp xuất bản - Ngoại trừ internet</v>
          </cell>
          <cell r="G1120" t="str">
            <v>HNX</v>
          </cell>
          <cell r="H1120">
            <v>3240000</v>
          </cell>
        </row>
        <row r="1121">
          <cell r="D1121" t="str">
            <v>QTC</v>
          </cell>
          <cell r="E1121" t="str">
            <v>CTCP Công trình Giao thông Vận tải Quảng Nam</v>
          </cell>
          <cell r="F1121" t="str">
            <v>Xây dựng công nghiệp nặng và dân dụng</v>
          </cell>
          <cell r="G1121" t="str">
            <v>HNX</v>
          </cell>
          <cell r="H1121">
            <v>2700000</v>
          </cell>
        </row>
        <row r="1122">
          <cell r="D1122" t="str">
            <v>QTP</v>
          </cell>
          <cell r="E1122" t="str">
            <v>CTCP Nhiệt điện Quảng Ninh</v>
          </cell>
          <cell r="F1122" t="str">
            <v>Phát, truyền tải và phân phối điện năng</v>
          </cell>
          <cell r="G1122" t="str">
            <v>UPCoM</v>
          </cell>
          <cell r="H1122">
            <v>450000000</v>
          </cell>
        </row>
        <row r="1123">
          <cell r="D1123" t="str">
            <v>RAL</v>
          </cell>
          <cell r="E1123" t="str">
            <v>CTCP Bóng đèn Phích nước Rạng Đông</v>
          </cell>
          <cell r="F1123" t="str">
            <v>Sản xuất trang thiết bị, dụng cụ điện</v>
          </cell>
          <cell r="G1123" t="str">
            <v>HOSE</v>
          </cell>
          <cell r="H1123">
            <v>12075000</v>
          </cell>
        </row>
        <row r="1124">
          <cell r="D1124" t="str">
            <v>RAT</v>
          </cell>
          <cell r="E1124" t="str">
            <v>CTCP Vận tải và Thương mại Đường sắt</v>
          </cell>
          <cell r="F1124" t="str">
            <v>Vận tải đường sắt</v>
          </cell>
          <cell r="G1124" t="str">
            <v>UPCoM</v>
          </cell>
          <cell r="H1124">
            <v>5921841</v>
          </cell>
        </row>
        <row r="1125">
          <cell r="D1125" t="str">
            <v>RBC</v>
          </cell>
          <cell r="E1125" t="str">
            <v>CTCP Công nghiệp và Xuất nhập khẩu Cao su</v>
          </cell>
          <cell r="F1125" t="str">
            <v>Sản xuất các sản phẩm nhựa và cao su</v>
          </cell>
          <cell r="G1125" t="str">
            <v>UPCoM</v>
          </cell>
          <cell r="H1125">
            <v>10030308</v>
          </cell>
        </row>
        <row r="1126">
          <cell r="D1126" t="str">
            <v>RCC</v>
          </cell>
          <cell r="E1126" t="str">
            <v>CTCP Tổng Công ty Công trình Đường sắt</v>
          </cell>
          <cell r="F1126" t="str">
            <v>Hỗ trợ vận tải</v>
          </cell>
          <cell r="G1126" t="str">
            <v>UPCoM</v>
          </cell>
          <cell r="H1126">
            <v>15457383</v>
          </cell>
        </row>
        <row r="1127">
          <cell r="D1127" t="str">
            <v>RCD</v>
          </cell>
          <cell r="E1127" t="str">
            <v>CTCP Xây dựng - Địa ốc Cao su</v>
          </cell>
          <cell r="F1127" t="str">
            <v>Xây dựng nhà cửa, cao ốc</v>
          </cell>
          <cell r="G1127" t="str">
            <v>UPCoM</v>
          </cell>
          <cell r="H1127">
            <v>5300062</v>
          </cell>
        </row>
        <row r="1128">
          <cell r="D1128" t="str">
            <v>RCL</v>
          </cell>
          <cell r="E1128" t="str">
            <v>CTCP Địa ốc Chợ Lớn</v>
          </cell>
          <cell r="F1128" t="str">
            <v>Phát triển bất động sản</v>
          </cell>
          <cell r="G1128" t="str">
            <v>HNX</v>
          </cell>
          <cell r="H1128">
            <v>12598930</v>
          </cell>
        </row>
        <row r="1129">
          <cell r="D1129" t="str">
            <v>RDP</v>
          </cell>
          <cell r="E1129" t="str">
            <v>CTCP Rạng Đông Holding</v>
          </cell>
          <cell r="F1129" t="str">
            <v>Sản xuất các sản phẩm nhựa và cao su</v>
          </cell>
          <cell r="G1129" t="str">
            <v>HOSE</v>
          </cell>
          <cell r="H1129">
            <v>47640586</v>
          </cell>
        </row>
        <row r="1130">
          <cell r="D1130" t="str">
            <v>REE</v>
          </cell>
          <cell r="E1130" t="str">
            <v>CTCP Cơ Điện Lạnh</v>
          </cell>
          <cell r="F1130" t="str">
            <v>Nhà thầu chuyên môn</v>
          </cell>
          <cell r="G1130" t="str">
            <v>HOSE</v>
          </cell>
          <cell r="H1130">
            <v>310058841</v>
          </cell>
        </row>
        <row r="1131">
          <cell r="D1131" t="str">
            <v>RGC</v>
          </cell>
          <cell r="E1131" t="str">
            <v>CTCP Đầu tư PV - Inconess</v>
          </cell>
          <cell r="F1131" t="str">
            <v>Nghệ thuật trình diễn, thể thao và các ngành liên quan</v>
          </cell>
          <cell r="G1131" t="str">
            <v>UPCoM</v>
          </cell>
          <cell r="H1131">
            <v>89123600</v>
          </cell>
        </row>
        <row r="1132">
          <cell r="D1132" t="str">
            <v>RIC</v>
          </cell>
          <cell r="E1132" t="str">
            <v>CTCP Quốc tế Hoàng Gia</v>
          </cell>
          <cell r="F1132" t="str">
            <v>Công nghiệp giải trí, đánh bạc và tiêu khiển</v>
          </cell>
          <cell r="G1132" t="str">
            <v>HOSE</v>
          </cell>
          <cell r="H1132">
            <v>28708169</v>
          </cell>
        </row>
        <row r="1133">
          <cell r="D1133" t="str">
            <v>ROS</v>
          </cell>
          <cell r="E1133" t="str">
            <v>CTCP Xây dựng FLC Faros</v>
          </cell>
          <cell r="F1133" t="str">
            <v>Xây dựng công nghiệp nặng và dân dụng</v>
          </cell>
          <cell r="G1133" t="str">
            <v>HOSE</v>
          </cell>
          <cell r="H1133">
            <v>567598121</v>
          </cell>
        </row>
        <row r="1134">
          <cell r="D1134" t="str">
            <v>RTB</v>
          </cell>
          <cell r="E1134" t="str">
            <v>CTCP Cao su Tân Biên</v>
          </cell>
          <cell r="F1134" t="str">
            <v>Sản xuất hóa chất, dược phẩm</v>
          </cell>
          <cell r="G1134" t="str">
            <v>UPCoM</v>
          </cell>
          <cell r="H1134">
            <v>87945000</v>
          </cell>
        </row>
        <row r="1135">
          <cell r="D1135" t="str">
            <v>S12</v>
          </cell>
          <cell r="E1135" t="str">
            <v>CTCP Sông Đà 12</v>
          </cell>
          <cell r="F1135" t="str">
            <v>Xây dựng công nghiệp nặng và dân dụng</v>
          </cell>
          <cell r="G1135" t="str">
            <v>UPCoM</v>
          </cell>
          <cell r="H1135">
            <v>5000000</v>
          </cell>
        </row>
        <row r="1136">
          <cell r="D1136" t="str">
            <v>S27</v>
          </cell>
          <cell r="E1136" t="str">
            <v>CTCP Sông Đà 27</v>
          </cell>
          <cell r="F1136" t="str">
            <v>Sản xuất khác</v>
          </cell>
          <cell r="G1136" t="str">
            <v>UPCoM</v>
          </cell>
          <cell r="H1136">
            <v>1572833</v>
          </cell>
        </row>
        <row r="1137">
          <cell r="D1137" t="str">
            <v>S4A</v>
          </cell>
          <cell r="E1137" t="str">
            <v>CTCP Thủy điện Sê San 4A</v>
          </cell>
          <cell r="F1137" t="str">
            <v>Phát, truyền tải và phân phối điện năng</v>
          </cell>
          <cell r="G1137" t="str">
            <v>HOSE</v>
          </cell>
          <cell r="H1137">
            <v>42200000</v>
          </cell>
        </row>
        <row r="1138">
          <cell r="D1138" t="str">
            <v>S55</v>
          </cell>
          <cell r="E1138" t="str">
            <v>CTCP Sông Đà 505</v>
          </cell>
          <cell r="F1138" t="str">
            <v>Xây dựng công nghiệp nặng và dân dụng</v>
          </cell>
          <cell r="G1138" t="str">
            <v>HNX</v>
          </cell>
          <cell r="H1138">
            <v>10000000</v>
          </cell>
        </row>
        <row r="1139">
          <cell r="D1139" t="str">
            <v>S72</v>
          </cell>
          <cell r="E1139" t="str">
            <v>CTCP Sông Đà 7.02</v>
          </cell>
          <cell r="F1139" t="str">
            <v>Phát, truyền tải và phân phối điện năng</v>
          </cell>
          <cell r="G1139" t="str">
            <v>UPCoM</v>
          </cell>
          <cell r="H1139">
            <v>12000000</v>
          </cell>
        </row>
        <row r="1140">
          <cell r="D1140" t="str">
            <v>S74</v>
          </cell>
          <cell r="E1140" t="str">
            <v>CTCP Sông Đà 7.04</v>
          </cell>
          <cell r="F1140" t="str">
            <v>Sản xuất sản phẩm khoáng chất phi kim</v>
          </cell>
          <cell r="G1140" t="str">
            <v>UPCoM</v>
          </cell>
          <cell r="H1140">
            <v>6480000</v>
          </cell>
        </row>
        <row r="1141">
          <cell r="D1141" t="str">
            <v>S96</v>
          </cell>
          <cell r="E1141" t="str">
            <v>CTCP Sông Đà 9.06</v>
          </cell>
          <cell r="F1141" t="str">
            <v>Xây dựng nhà cửa, cao ốc</v>
          </cell>
          <cell r="G1141" t="str">
            <v>UPCoM</v>
          </cell>
          <cell r="H1141">
            <v>11155532</v>
          </cell>
        </row>
        <row r="1142">
          <cell r="D1142" t="str">
            <v>S99</v>
          </cell>
          <cell r="E1142" t="str">
            <v>CTCP SCI</v>
          </cell>
          <cell r="F1142" t="str">
            <v>Xây dựng công nghiệp nặng và dân dụng</v>
          </cell>
          <cell r="G1142" t="str">
            <v>HNX</v>
          </cell>
          <cell r="H1142">
            <v>52426723</v>
          </cell>
        </row>
        <row r="1143">
          <cell r="D1143" t="str">
            <v>SAB</v>
          </cell>
          <cell r="E1143" t="str">
            <v>Tổng Công ty cổ phần Bia - Rượu - Nước giải khát Sài Gòn</v>
          </cell>
          <cell r="F1143" t="str">
            <v>Sản xuất đồ uống và thuốc lá</v>
          </cell>
          <cell r="G1143" t="str">
            <v>HOSE</v>
          </cell>
          <cell r="H1143">
            <v>641281186</v>
          </cell>
        </row>
        <row r="1144">
          <cell r="D1144" t="str">
            <v>SAC</v>
          </cell>
          <cell r="E1144" t="str">
            <v>CTCP Xếp dỡ và Dịch vụ Cảng Sài Gòn</v>
          </cell>
          <cell r="F1144" t="str">
            <v>Hỗ trợ vận tải</v>
          </cell>
          <cell r="G1144" t="str">
            <v>UPCoM</v>
          </cell>
          <cell r="H1144">
            <v>4050000</v>
          </cell>
        </row>
        <row r="1145">
          <cell r="D1145" t="str">
            <v>SAF</v>
          </cell>
          <cell r="E1145" t="str">
            <v>CTCP Lương thực Thực phẩm Safoco</v>
          </cell>
          <cell r="F1145" t="str">
            <v>Sản xuất thực phẩm</v>
          </cell>
          <cell r="G1145" t="str">
            <v>HNX</v>
          </cell>
          <cell r="H1145">
            <v>10055789</v>
          </cell>
        </row>
        <row r="1146">
          <cell r="D1146" t="str">
            <v>SAL</v>
          </cell>
          <cell r="E1146" t="str">
            <v>CTCP Trục vớt Cứu hộ Việt Nam</v>
          </cell>
          <cell r="F1146" t="str">
            <v>Hỗ trợ vận tải</v>
          </cell>
          <cell r="G1146" t="str">
            <v>UPCoM</v>
          </cell>
          <cell r="H1146">
            <v>8310000</v>
          </cell>
        </row>
        <row r="1147">
          <cell r="D1147" t="str">
            <v>SAM</v>
          </cell>
          <cell r="E1147" t="str">
            <v>CTCP SAM HOLDINGS</v>
          </cell>
          <cell r="F1147" t="str">
            <v>Sản xuất trang thiết bị, dụng cụ điện</v>
          </cell>
          <cell r="G1147" t="str">
            <v>HOSE</v>
          </cell>
          <cell r="H1147">
            <v>349997190</v>
          </cell>
        </row>
        <row r="1148">
          <cell r="D1148" t="str">
            <v>SAP</v>
          </cell>
          <cell r="E1148" t="str">
            <v>CTCP In Sách giáo khoa Thành phố Hồ Chí Minh</v>
          </cell>
          <cell r="F1148" t="str">
            <v>In ấn và các hoạt động hỗ trợ</v>
          </cell>
          <cell r="G1148" t="str">
            <v>UPCoM</v>
          </cell>
          <cell r="H1148">
            <v>1286984</v>
          </cell>
        </row>
        <row r="1149">
          <cell r="D1149" t="str">
            <v>SAS</v>
          </cell>
          <cell r="E1149" t="str">
            <v>CTCP Dịch vụ Hàng không Sân bay Tân Sơn Nhất</v>
          </cell>
          <cell r="F1149" t="str">
            <v>Của hàng hàng hóa tổng hợp</v>
          </cell>
          <cell r="G1149" t="str">
            <v>UPCoM</v>
          </cell>
          <cell r="H1149">
            <v>133481310</v>
          </cell>
        </row>
        <row r="1150">
          <cell r="D1150" t="str">
            <v>SAV</v>
          </cell>
          <cell r="E1150" t="str">
            <v>CTCP Hợp tác Kinh tế và Xuất nhập khẩu Savimex</v>
          </cell>
          <cell r="F1150" t="str">
            <v>Sản xuất trang thiết bị nội thất và sản phẩm liên quan</v>
          </cell>
          <cell r="G1150" t="str">
            <v>HOSE</v>
          </cell>
          <cell r="H1150">
            <v>16019967</v>
          </cell>
        </row>
        <row r="1151">
          <cell r="D1151" t="str">
            <v>SB1</v>
          </cell>
          <cell r="E1151" t="str">
            <v>CTCP Bia Sài Gòn - Nghệ Tĩnh</v>
          </cell>
          <cell r="F1151" t="str">
            <v>Sản xuất đồ uống và thuốc lá</v>
          </cell>
          <cell r="G1151" t="str">
            <v>UPCoM</v>
          </cell>
          <cell r="H1151">
            <v>10500000</v>
          </cell>
        </row>
        <row r="1152">
          <cell r="D1152" t="str">
            <v>SBA</v>
          </cell>
          <cell r="E1152" t="str">
            <v>CTCP Sông Ba</v>
          </cell>
          <cell r="F1152" t="str">
            <v>Phát, truyền tải và phân phối điện năng</v>
          </cell>
          <cell r="G1152" t="str">
            <v>HOSE</v>
          </cell>
          <cell r="H1152">
            <v>60488261</v>
          </cell>
        </row>
        <row r="1153">
          <cell r="D1153" t="str">
            <v>SBD</v>
          </cell>
          <cell r="E1153" t="str">
            <v>CTCP Công nghệ Sao Bắc Đẩu</v>
          </cell>
          <cell r="F1153" t="str">
            <v>Các dịch vụ thông tin khác</v>
          </cell>
          <cell r="G1153" t="str">
            <v>UPCoM</v>
          </cell>
          <cell r="H1153">
            <v>11500000</v>
          </cell>
        </row>
        <row r="1154">
          <cell r="D1154" t="str">
            <v>SBH</v>
          </cell>
          <cell r="E1154" t="str">
            <v>CTCP Thủy điện Sông Ba Hạ</v>
          </cell>
          <cell r="F1154" t="str">
            <v>Phát, truyền tải và phân phối điện năng</v>
          </cell>
          <cell r="G1154" t="str">
            <v>UPCoM</v>
          </cell>
          <cell r="H1154">
            <v>124225000</v>
          </cell>
        </row>
        <row r="1155">
          <cell r="D1155" t="str">
            <v>SBL</v>
          </cell>
          <cell r="E1155" t="str">
            <v>CTCP Bia Sài Gòn - Bạc Liêu</v>
          </cell>
          <cell r="F1155" t="str">
            <v>Sản xuất thực phẩm</v>
          </cell>
          <cell r="G1155" t="str">
            <v>UPCoM</v>
          </cell>
          <cell r="H1155">
            <v>12012000</v>
          </cell>
        </row>
        <row r="1156">
          <cell r="D1156" t="str">
            <v>SBM</v>
          </cell>
          <cell r="E1156" t="str">
            <v>CTCP Đầu tư Phát triển Bắc Minh</v>
          </cell>
          <cell r="F1156" t="str">
            <v>Phát, truyền tải và phân phối điện năng</v>
          </cell>
          <cell r="G1156" t="str">
            <v>UPCoM</v>
          </cell>
          <cell r="H1156"/>
        </row>
        <row r="1157">
          <cell r="D1157" t="str">
            <v>SBR</v>
          </cell>
          <cell r="E1157" t="str">
            <v>CTCP Cao su Sông Bé</v>
          </cell>
          <cell r="F1157" t="str">
            <v>Sản xuất hóa chất, dược phẩm</v>
          </cell>
          <cell r="G1157" t="str">
            <v>UPCoM</v>
          </cell>
          <cell r="H1157">
            <v>81396192</v>
          </cell>
        </row>
        <row r="1158">
          <cell r="D1158" t="str">
            <v>SBS</v>
          </cell>
          <cell r="E1158" t="str">
            <v>CTCP Chứng khoán Ngân hàng Sài Gòn Thương Tín</v>
          </cell>
          <cell r="F1158" t="str">
            <v>Môi giới chứng khoán, hàng hóa, đầu tư tài chính khác và các hoạt động liên quan</v>
          </cell>
          <cell r="G1158" t="str">
            <v>UPCoM</v>
          </cell>
          <cell r="H1158">
            <v>126660000</v>
          </cell>
        </row>
        <row r="1159">
          <cell r="D1159" t="str">
            <v>SBT</v>
          </cell>
          <cell r="E1159" t="str">
            <v>CTCP Thành Thành Công - Biên Hòa</v>
          </cell>
          <cell r="F1159" t="str">
            <v>Sản xuất thực phẩm</v>
          </cell>
          <cell r="G1159" t="str">
            <v>HOSE</v>
          </cell>
          <cell r="H1159">
            <v>617158147</v>
          </cell>
        </row>
        <row r="1160">
          <cell r="D1160" t="str">
            <v>SBV</v>
          </cell>
          <cell r="E1160" t="str">
            <v>CTCP Siam Brothers Việt Nam</v>
          </cell>
          <cell r="F1160" t="str">
            <v>Sản xuất khác</v>
          </cell>
          <cell r="G1160" t="str">
            <v>HOSE</v>
          </cell>
          <cell r="H1160">
            <v>27366476</v>
          </cell>
        </row>
        <row r="1161">
          <cell r="D1161" t="str">
            <v>SC5</v>
          </cell>
          <cell r="E1161" t="str">
            <v>CTCP Xây dựng Số 5</v>
          </cell>
          <cell r="F1161" t="str">
            <v>Xây dựng nhà cửa, cao ốc</v>
          </cell>
          <cell r="G1161" t="str">
            <v>HOSE</v>
          </cell>
          <cell r="H1161">
            <v>14984550</v>
          </cell>
        </row>
        <row r="1162">
          <cell r="D1162" t="str">
            <v>SCA</v>
          </cell>
          <cell r="E1162" t="str">
            <v>CTCP Nông nghiệp Sông Con</v>
          </cell>
          <cell r="F1162" t="str">
            <v>Trồng trọt</v>
          </cell>
          <cell r="G1162" t="str">
            <v>UPCoM</v>
          </cell>
          <cell r="H1162">
            <v>2076000</v>
          </cell>
        </row>
        <row r="1163">
          <cell r="D1163" t="str">
            <v>SCC</v>
          </cell>
          <cell r="E1163" t="str">
            <v>CTCP Thương mại Đầu tư SHB</v>
          </cell>
          <cell r="F1163" t="str">
            <v>Sản xuất sản phẩm khoáng chất phi kim</v>
          </cell>
          <cell r="G1163" t="str">
            <v>UPCoM</v>
          </cell>
          <cell r="H1163">
            <v>4884900</v>
          </cell>
        </row>
        <row r="1164">
          <cell r="D1164" t="str">
            <v>SCD</v>
          </cell>
          <cell r="E1164" t="str">
            <v>CTCP Nước giải khát Chương Dương</v>
          </cell>
          <cell r="F1164" t="str">
            <v>Sản xuất đồ uống và thuốc lá</v>
          </cell>
          <cell r="G1164" t="str">
            <v>HOSE</v>
          </cell>
          <cell r="H1164">
            <v>8500000</v>
          </cell>
        </row>
        <row r="1165">
          <cell r="D1165" t="str">
            <v>SCG</v>
          </cell>
          <cell r="E1165" t="str">
            <v>CTCP Xây dựng SCG</v>
          </cell>
          <cell r="F1165" t="str">
            <v>Xây dựng nhà cửa, cao ốc</v>
          </cell>
          <cell r="G1165" t="str">
            <v>UPCoM</v>
          </cell>
          <cell r="H1165">
            <v>50000000</v>
          </cell>
        </row>
        <row r="1166">
          <cell r="D1166" t="str">
            <v>SCI</v>
          </cell>
          <cell r="E1166" t="str">
            <v>CTCP SCI E&amp;C</v>
          </cell>
          <cell r="F1166" t="str">
            <v>Xây dựng nhà cửa, cao ốc</v>
          </cell>
          <cell r="G1166" t="str">
            <v>HNX</v>
          </cell>
          <cell r="H1166">
            <v>25409847</v>
          </cell>
        </row>
        <row r="1167">
          <cell r="D1167" t="str">
            <v>SCJ</v>
          </cell>
          <cell r="E1167" t="str">
            <v>CTCP Xi măng Sài Sơn</v>
          </cell>
          <cell r="F1167" t="str">
            <v>Sản xuất sản phẩm khoáng chất phi kim</v>
          </cell>
          <cell r="G1167" t="str">
            <v>UPCoM</v>
          </cell>
          <cell r="H1167">
            <v>37839000</v>
          </cell>
        </row>
        <row r="1168">
          <cell r="D1168" t="str">
            <v>SCL</v>
          </cell>
          <cell r="E1168" t="str">
            <v>CTCP Sông Đà Cao Cường</v>
          </cell>
          <cell r="F1168" t="str">
            <v>Sản xuất sản phẩm khoáng chất phi kim</v>
          </cell>
          <cell r="G1168" t="str">
            <v>UPCoM</v>
          </cell>
          <cell r="H1168">
            <v>13889973</v>
          </cell>
        </row>
        <row r="1169">
          <cell r="D1169" t="str">
            <v>SCO</v>
          </cell>
          <cell r="E1169" t="str">
            <v>CTCP Công nghiệp Thủy sản</v>
          </cell>
          <cell r="F1169" t="str">
            <v>Bán buôn hàng tiêu dùng</v>
          </cell>
          <cell r="G1169" t="str">
            <v>UPCoM</v>
          </cell>
          <cell r="H1169">
            <v>4200000</v>
          </cell>
        </row>
        <row r="1170">
          <cell r="D1170" t="str">
            <v>SCR</v>
          </cell>
          <cell r="E1170" t="str">
            <v>CTCP Địa ốc Sài Gòn Thương Tín</v>
          </cell>
          <cell r="F1170" t="str">
            <v>Phát triển bất động sản</v>
          </cell>
          <cell r="G1170" t="str">
            <v>HOSE</v>
          </cell>
          <cell r="H1170">
            <v>366356303</v>
          </cell>
        </row>
        <row r="1171">
          <cell r="D1171" t="str">
            <v>SCS</v>
          </cell>
          <cell r="E1171" t="str">
            <v>CTCP Dịch vụ Hàng hóa Sài Gòn</v>
          </cell>
          <cell r="F1171" t="str">
            <v>Hỗ trợ vận tải</v>
          </cell>
          <cell r="G1171" t="str">
            <v>HOSE</v>
          </cell>
          <cell r="H1171">
            <v>50745700</v>
          </cell>
        </row>
        <row r="1172">
          <cell r="D1172" t="str">
            <v>SCV</v>
          </cell>
          <cell r="E1172" t="str">
            <v>CTCP Muối Việt Nam</v>
          </cell>
          <cell r="F1172" t="str">
            <v>Sản xuất thực phẩm</v>
          </cell>
          <cell r="G1172" t="str">
            <v>UPCoM</v>
          </cell>
          <cell r="H1172">
            <v>1279392</v>
          </cell>
        </row>
        <row r="1173">
          <cell r="D1173" t="str">
            <v>SCY</v>
          </cell>
          <cell r="E1173" t="str">
            <v>CTCP Đóng tàu Sông Cấm</v>
          </cell>
          <cell r="F1173" t="str">
            <v>Sản xuất phương tiện vận tải</v>
          </cell>
          <cell r="G1173" t="str">
            <v>UPCoM</v>
          </cell>
          <cell r="H1173">
            <v>61968926</v>
          </cell>
        </row>
        <row r="1174">
          <cell r="D1174" t="str">
            <v>SD1</v>
          </cell>
          <cell r="E1174" t="str">
            <v>CTCP Sông Đà 1</v>
          </cell>
          <cell r="F1174" t="str">
            <v>Xây dựng nhà cửa, cao ốc</v>
          </cell>
          <cell r="G1174" t="str">
            <v>UPCoM</v>
          </cell>
          <cell r="H1174">
            <v>5000000</v>
          </cell>
        </row>
        <row r="1175">
          <cell r="D1175" t="str">
            <v>SD2</v>
          </cell>
          <cell r="E1175" t="str">
            <v>CTCP Sông Đà 2</v>
          </cell>
          <cell r="F1175" t="str">
            <v>Xây dựng công nghiệp nặng và dân dụng</v>
          </cell>
          <cell r="G1175" t="str">
            <v>HNX</v>
          </cell>
          <cell r="H1175">
            <v>14423536</v>
          </cell>
        </row>
        <row r="1176">
          <cell r="D1176" t="str">
            <v>SD3</v>
          </cell>
          <cell r="E1176" t="str">
            <v>CTCP Sông Đà 3</v>
          </cell>
          <cell r="F1176" t="str">
            <v>Phát, truyền tải và phân phối điện năng</v>
          </cell>
          <cell r="G1176" t="str">
            <v>UPCoM</v>
          </cell>
          <cell r="H1176">
            <v>15999356</v>
          </cell>
        </row>
        <row r="1177">
          <cell r="D1177" t="str">
            <v>SD4</v>
          </cell>
          <cell r="E1177" t="str">
            <v>CTCP Sông Đà 4</v>
          </cell>
          <cell r="F1177" t="str">
            <v>Xây dựng công nghiệp nặng và dân dụng</v>
          </cell>
          <cell r="G1177" t="str">
            <v>HNX</v>
          </cell>
          <cell r="H1177">
            <v>10300000</v>
          </cell>
        </row>
        <row r="1178">
          <cell r="D1178" t="str">
            <v>SD5</v>
          </cell>
          <cell r="E1178" t="str">
            <v>CTCP Sông Đà 5</v>
          </cell>
          <cell r="F1178" t="str">
            <v>Xây dựng công nghiệp nặng và dân dụng</v>
          </cell>
          <cell r="G1178" t="str">
            <v>HNX</v>
          </cell>
          <cell r="H1178">
            <v>25999848</v>
          </cell>
        </row>
        <row r="1179">
          <cell r="D1179" t="str">
            <v>SD6</v>
          </cell>
          <cell r="E1179" t="str">
            <v>CTCP Sông Đà 6</v>
          </cell>
          <cell r="F1179" t="str">
            <v>Xây dựng công nghiệp nặng và dân dụng</v>
          </cell>
          <cell r="G1179" t="str">
            <v>HNX</v>
          </cell>
          <cell r="H1179">
            <v>34771611</v>
          </cell>
        </row>
        <row r="1180">
          <cell r="D1180" t="str">
            <v>SD7</v>
          </cell>
          <cell r="E1180" t="str">
            <v>CTCP Sông Đà 7</v>
          </cell>
          <cell r="F1180" t="str">
            <v>Xây dựng công nghiệp nặng và dân dụng</v>
          </cell>
          <cell r="G1180" t="str">
            <v>UPCoM</v>
          </cell>
          <cell r="H1180">
            <v>10600000</v>
          </cell>
        </row>
        <row r="1181">
          <cell r="D1181" t="str">
            <v>SD8</v>
          </cell>
          <cell r="E1181" t="str">
            <v>CTCP Sông Đà 8</v>
          </cell>
          <cell r="F1181" t="str">
            <v>Xây dựng công nghiệp nặng và dân dụng</v>
          </cell>
          <cell r="G1181" t="str">
            <v>UPCoM</v>
          </cell>
          <cell r="H1181">
            <v>2800000</v>
          </cell>
        </row>
        <row r="1182">
          <cell r="D1182" t="str">
            <v>SD9</v>
          </cell>
          <cell r="E1182" t="str">
            <v>CTCP Sông Đà 9</v>
          </cell>
          <cell r="F1182" t="str">
            <v>Xây dựng công nghiệp nặng và dân dụng</v>
          </cell>
          <cell r="G1182" t="str">
            <v>HNX</v>
          </cell>
          <cell r="H1182">
            <v>34234000</v>
          </cell>
        </row>
        <row r="1183">
          <cell r="D1183" t="str">
            <v>SDA</v>
          </cell>
          <cell r="E1183" t="str">
            <v>CTCP Simco Sông Đà</v>
          </cell>
          <cell r="F1183" t="str">
            <v>Dịch vụ hành chính và hỗ trợ</v>
          </cell>
          <cell r="G1183" t="str">
            <v>HNX</v>
          </cell>
          <cell r="H1183">
            <v>26206158</v>
          </cell>
        </row>
        <row r="1184">
          <cell r="D1184" t="str">
            <v>SDB</v>
          </cell>
          <cell r="E1184" t="str">
            <v>CTCP Sông Đà 207</v>
          </cell>
          <cell r="F1184" t="str">
            <v>Xây dựng nhà cửa, cao ốc</v>
          </cell>
          <cell r="G1184" t="str">
            <v>UPCoM</v>
          </cell>
          <cell r="H1184">
            <v>11000000</v>
          </cell>
        </row>
        <row r="1185">
          <cell r="D1185" t="str">
            <v>SDC</v>
          </cell>
          <cell r="E1185" t="str">
            <v>CTCP Tư vấn Sông Đà</v>
          </cell>
          <cell r="F1185" t="str">
            <v>Dịch vụ thiết kế chuyên biệt</v>
          </cell>
          <cell r="G1185" t="str">
            <v>HNX</v>
          </cell>
          <cell r="H1185">
            <v>2609710</v>
          </cell>
        </row>
        <row r="1186">
          <cell r="D1186" t="str">
            <v>SDD</v>
          </cell>
          <cell r="E1186" t="str">
            <v>CTCP Đầu tư và Xây lắp Sông Đà</v>
          </cell>
          <cell r="F1186" t="str">
            <v>Xây dựng công nghiệp nặng và dân dụng</v>
          </cell>
          <cell r="G1186" t="str">
            <v>UPCoM</v>
          </cell>
          <cell r="H1186">
            <v>16007685</v>
          </cell>
        </row>
        <row r="1187">
          <cell r="D1187" t="str">
            <v>SDG</v>
          </cell>
          <cell r="E1187" t="str">
            <v>CTCP Sadico Cần Thơ</v>
          </cell>
          <cell r="F1187" t="str">
            <v>Sản xuất giấy</v>
          </cell>
          <cell r="G1187" t="str">
            <v>HNX</v>
          </cell>
          <cell r="H1187">
            <v>7139997</v>
          </cell>
        </row>
        <row r="1188">
          <cell r="D1188" t="str">
            <v>SDH</v>
          </cell>
          <cell r="E1188" t="str">
            <v>CTCP Xây dựng Hạ tầng Sông Đà</v>
          </cell>
          <cell r="F1188" t="str">
            <v>Xây dựng nhà cửa, cao ốc</v>
          </cell>
          <cell r="G1188" t="str">
            <v>UPCoM</v>
          </cell>
          <cell r="H1188">
            <v>20950000</v>
          </cell>
        </row>
        <row r="1189">
          <cell r="D1189" t="str">
            <v>SDJ</v>
          </cell>
          <cell r="E1189" t="str">
            <v>CTCP Sông Đà 25</v>
          </cell>
          <cell r="F1189" t="str">
            <v>Xây dựng nhà cửa, cao ốc</v>
          </cell>
          <cell r="G1189" t="str">
            <v>UPCoM</v>
          </cell>
          <cell r="H1189">
            <v>4343700</v>
          </cell>
        </row>
        <row r="1190">
          <cell r="D1190" t="str">
            <v>SDK</v>
          </cell>
          <cell r="E1190" t="str">
            <v>CTCP Cơ khí Luyện kim</v>
          </cell>
          <cell r="F1190" t="str">
            <v>Sản xuất thiết bị, máy móc</v>
          </cell>
          <cell r="G1190" t="str">
            <v>UPCoM</v>
          </cell>
          <cell r="H1190">
            <v>2600000</v>
          </cell>
        </row>
        <row r="1191">
          <cell r="D1191" t="str">
            <v>SDN</v>
          </cell>
          <cell r="E1191" t="str">
            <v>CTCP Sơn Đồng Nai</v>
          </cell>
          <cell r="F1191" t="str">
            <v>Sản xuất hóa chất, dược phẩm</v>
          </cell>
          <cell r="G1191" t="str">
            <v>HNX</v>
          </cell>
          <cell r="H1191">
            <v>1518218</v>
          </cell>
        </row>
        <row r="1192">
          <cell r="D1192" t="str">
            <v>SDP</v>
          </cell>
          <cell r="E1192" t="str">
            <v>CTCP SDP</v>
          </cell>
          <cell r="F1192" t="str">
            <v>Bán buôn hàng lâu bền</v>
          </cell>
          <cell r="G1192" t="str">
            <v>UPCoM</v>
          </cell>
          <cell r="H1192">
            <v>11114472</v>
          </cell>
        </row>
        <row r="1193">
          <cell r="D1193" t="str">
            <v>SDT</v>
          </cell>
          <cell r="E1193" t="str">
            <v>CTCP Sông Đà 10</v>
          </cell>
          <cell r="F1193" t="str">
            <v>Xây dựng công nghiệp nặng và dân dụng</v>
          </cell>
          <cell r="G1193" t="str">
            <v>HNX</v>
          </cell>
          <cell r="H1193">
            <v>42732311</v>
          </cell>
        </row>
        <row r="1194">
          <cell r="D1194" t="str">
            <v>SDU</v>
          </cell>
          <cell r="E1194" t="str">
            <v>CTCP Đầu tư Xây dựng và Phát triển Đô thị Sông Đà</v>
          </cell>
          <cell r="F1194" t="str">
            <v>Bất động sản</v>
          </cell>
          <cell r="G1194" t="str">
            <v>HNX</v>
          </cell>
          <cell r="H1194">
            <v>20000000</v>
          </cell>
        </row>
        <row r="1195">
          <cell r="D1195" t="str">
            <v>SDV</v>
          </cell>
          <cell r="E1195" t="str">
            <v>CTCP Dịch vụ Sonadezi</v>
          </cell>
          <cell r="F1195" t="str">
            <v>Dịch vụ quản lý và tái chế chất thải</v>
          </cell>
          <cell r="G1195" t="str">
            <v>UPCoM</v>
          </cell>
          <cell r="H1195">
            <v>5000000</v>
          </cell>
        </row>
        <row r="1196">
          <cell r="D1196" t="str">
            <v>SDX</v>
          </cell>
          <cell r="E1196" t="str">
            <v>CTCP Phòng cháy Chữa cháy và Đầu tư Xây dựng Sông Đà</v>
          </cell>
          <cell r="F1196" t="str">
            <v>Xây dựng nhà cửa, cao ốc</v>
          </cell>
          <cell r="G1196" t="str">
            <v>UPCoM</v>
          </cell>
          <cell r="H1196">
            <v>2250000</v>
          </cell>
        </row>
        <row r="1197">
          <cell r="D1197" t="str">
            <v>SDY</v>
          </cell>
          <cell r="E1197" t="str">
            <v>CTCP Xi măng Sông Đà Yaly</v>
          </cell>
          <cell r="F1197" t="str">
            <v>Sản xuất sản phẩm khoáng chất phi kim</v>
          </cell>
          <cell r="G1197" t="str">
            <v>UPCoM</v>
          </cell>
          <cell r="H1197">
            <v>4500000</v>
          </cell>
        </row>
        <row r="1198">
          <cell r="D1198" t="str">
            <v>SEA</v>
          </cell>
          <cell r="E1198" t="str">
            <v>Tổng Công ty Thủy sản Việt Nam - CTCP</v>
          </cell>
          <cell r="F1198" t="str">
            <v>Chăn nuôi</v>
          </cell>
          <cell r="G1198" t="str">
            <v>UPCoM</v>
          </cell>
          <cell r="H1198">
            <v>125000000</v>
          </cell>
        </row>
        <row r="1199">
          <cell r="D1199" t="str">
            <v>SEB</v>
          </cell>
          <cell r="E1199" t="str">
            <v>CTCP Đầu tư và Phát triển Điện Miền Trung</v>
          </cell>
          <cell r="F1199" t="str">
            <v>Phát, truyền tải và phân phối điện năng</v>
          </cell>
          <cell r="G1199" t="str">
            <v>HNX</v>
          </cell>
          <cell r="H1199">
            <v>31999969</v>
          </cell>
        </row>
        <row r="1200">
          <cell r="D1200" t="str">
            <v>SED</v>
          </cell>
          <cell r="E1200" t="str">
            <v>CTCP Đầu tư và Phát triển Giáo dục Phương Nam</v>
          </cell>
          <cell r="F1200" t="str">
            <v>Công nghiệp xuất bản - Ngoại trừ internet</v>
          </cell>
          <cell r="G1200" t="str">
            <v>HNX</v>
          </cell>
          <cell r="H1200">
            <v>10000000</v>
          </cell>
        </row>
        <row r="1201">
          <cell r="D1201" t="str">
            <v>SEP</v>
          </cell>
          <cell r="E1201" t="str">
            <v>CTCP Tổng Công ty Thương mại Quảng Trị</v>
          </cell>
          <cell r="F1201" t="str">
            <v>Trồng trọt</v>
          </cell>
          <cell r="G1201" t="str">
            <v>UPCoM</v>
          </cell>
          <cell r="H1201">
            <v>8400000</v>
          </cell>
        </row>
        <row r="1202">
          <cell r="D1202" t="str">
            <v>SFC</v>
          </cell>
          <cell r="E1202" t="str">
            <v>CTCP Nhiên liệu Sài Gòn</v>
          </cell>
          <cell r="F1202" t="str">
            <v>Trạm xăng</v>
          </cell>
          <cell r="G1202" t="str">
            <v>HOSE</v>
          </cell>
          <cell r="H1202">
            <v>11291459</v>
          </cell>
        </row>
        <row r="1203">
          <cell r="D1203" t="str">
            <v>SFG</v>
          </cell>
          <cell r="E1203" t="str">
            <v>CTCP Phân Bón Miền Nam</v>
          </cell>
          <cell r="F1203" t="str">
            <v>Sản xuất hóa chất, dược phẩm</v>
          </cell>
          <cell r="G1203" t="str">
            <v>HOSE</v>
          </cell>
          <cell r="H1203">
            <v>47897333</v>
          </cell>
        </row>
        <row r="1204">
          <cell r="D1204" t="str">
            <v>SFI</v>
          </cell>
          <cell r="E1204" t="str">
            <v>CTCP Đại lý Vận tải SAFI</v>
          </cell>
          <cell r="F1204" t="str">
            <v>Hỗ trợ vận tải</v>
          </cell>
          <cell r="G1204" t="str">
            <v>HOSE</v>
          </cell>
          <cell r="H1204">
            <v>15753069</v>
          </cell>
        </row>
        <row r="1205">
          <cell r="D1205" t="str">
            <v>SFN</v>
          </cell>
          <cell r="E1205" t="str">
            <v>CTCP Dệt lưới Sài Gòn</v>
          </cell>
          <cell r="F1205" t="str">
            <v>Sản xuất các sản phẩm nhựa và cao su</v>
          </cell>
          <cell r="G1205" t="str">
            <v>HNX</v>
          </cell>
          <cell r="H1205">
            <v>3000000</v>
          </cell>
        </row>
        <row r="1206">
          <cell r="D1206" t="str">
            <v>SGB</v>
          </cell>
          <cell r="E1206" t="str">
            <v>Ngân hàng TMCP Sài Gòn Công Thương</v>
          </cell>
          <cell r="F1206" t="str">
            <v>Trung gian tín dụng và các hoạt động liên quan</v>
          </cell>
          <cell r="G1206" t="str">
            <v>UPCoM</v>
          </cell>
          <cell r="H1206"/>
        </row>
        <row r="1207">
          <cell r="D1207" t="str">
            <v>SGC</v>
          </cell>
          <cell r="E1207" t="str">
            <v>CTCP Xuất nhập khẩu Sa Giang</v>
          </cell>
          <cell r="F1207" t="str">
            <v>Sản xuất thực phẩm</v>
          </cell>
          <cell r="G1207" t="str">
            <v>HNX</v>
          </cell>
          <cell r="H1207">
            <v>7147580</v>
          </cell>
        </row>
        <row r="1208">
          <cell r="D1208" t="str">
            <v>SGD</v>
          </cell>
          <cell r="E1208" t="str">
            <v>CTCP Sách Giáo dục tại Thành phố Hồ Chí Minh</v>
          </cell>
          <cell r="F1208" t="str">
            <v>Công nghiệp xuất bản - Ngoại trừ internet</v>
          </cell>
          <cell r="G1208" t="str">
            <v>HNX</v>
          </cell>
          <cell r="H1208">
            <v>4137000</v>
          </cell>
        </row>
        <row r="1209">
          <cell r="D1209" t="str">
            <v>SGH</v>
          </cell>
          <cell r="E1209" t="str">
            <v>CTCP Khách sạn Sài Gòn</v>
          </cell>
          <cell r="F1209" t="str">
            <v>Khách sạn và phòng ở</v>
          </cell>
          <cell r="G1209" t="str">
            <v>HNX</v>
          </cell>
          <cell r="H1209">
            <v>12364100</v>
          </cell>
        </row>
        <row r="1210">
          <cell r="D1210" t="str">
            <v>SGN</v>
          </cell>
          <cell r="E1210" t="str">
            <v>CTCP Phục vụ Mặt đất Sài Gòn</v>
          </cell>
          <cell r="F1210" t="str">
            <v>Hỗ trợ vận tải</v>
          </cell>
          <cell r="G1210" t="str">
            <v>HOSE</v>
          </cell>
          <cell r="H1210">
            <v>33581691</v>
          </cell>
        </row>
        <row r="1211">
          <cell r="D1211" t="str">
            <v>SGO</v>
          </cell>
          <cell r="E1211" t="str">
            <v>CTCP Dầu thực vật Sài Gòn</v>
          </cell>
          <cell r="F1211" t="str">
            <v>Sản xuất thực phẩm</v>
          </cell>
          <cell r="G1211" t="str">
            <v>UPCoM</v>
          </cell>
          <cell r="H1211">
            <v>20000000</v>
          </cell>
        </row>
        <row r="1212">
          <cell r="D1212" t="str">
            <v>SGP</v>
          </cell>
          <cell r="E1212" t="str">
            <v>CTCP Cảng Sài Gòn</v>
          </cell>
          <cell r="F1212" t="str">
            <v>Hỗ trợ vận tải</v>
          </cell>
          <cell r="G1212" t="str">
            <v>UPCoM</v>
          </cell>
          <cell r="H1212">
            <v>216294961</v>
          </cell>
        </row>
        <row r="1213">
          <cell r="D1213" t="str">
            <v>SGR</v>
          </cell>
          <cell r="E1213" t="str">
            <v>CTCP Địa ốc Sài Gòn</v>
          </cell>
          <cell r="F1213" t="str">
            <v>Bất động sản</v>
          </cell>
          <cell r="G1213" t="str">
            <v>HOSE</v>
          </cell>
          <cell r="H1213">
            <v>60000000</v>
          </cell>
        </row>
        <row r="1214">
          <cell r="D1214" t="str">
            <v>SGS</v>
          </cell>
          <cell r="E1214" t="str">
            <v>CTCP Vận tải biển Sài Gòn</v>
          </cell>
          <cell r="F1214" t="str">
            <v>Vận tải đường thủy</v>
          </cell>
          <cell r="G1214" t="str">
            <v>UPCoM</v>
          </cell>
          <cell r="H1214">
            <v>14420000</v>
          </cell>
        </row>
        <row r="1215">
          <cell r="D1215" t="str">
            <v>SGT</v>
          </cell>
          <cell r="E1215" t="str">
            <v>CTCP Công nghệ Viễn Thông Sài Gòn</v>
          </cell>
          <cell r="F1215" t="str">
            <v>Bán buôn hàng lâu bền</v>
          </cell>
          <cell r="G1215" t="str">
            <v>HOSE</v>
          </cell>
          <cell r="H1215">
            <v>74001914</v>
          </cell>
        </row>
        <row r="1216">
          <cell r="D1216" t="str">
            <v>SHA</v>
          </cell>
          <cell r="E1216" t="str">
            <v>CTCP Sơn Hà Sài Gòn</v>
          </cell>
          <cell r="F1216" t="str">
            <v>Sản xuất trang thiết bị nội thất và sản phẩm liên quan</v>
          </cell>
          <cell r="G1216" t="str">
            <v>HOSE</v>
          </cell>
          <cell r="H1216">
            <v>31853976</v>
          </cell>
        </row>
        <row r="1217">
          <cell r="D1217" t="str">
            <v>SHB</v>
          </cell>
          <cell r="E1217" t="str">
            <v>Ngân hàng TMCP Sài Gòn - Hà Nội</v>
          </cell>
          <cell r="F1217" t="str">
            <v>Trung gian tín dụng và các hoạt động liên quan</v>
          </cell>
          <cell r="G1217" t="str">
            <v>HNX</v>
          </cell>
          <cell r="H1217">
            <v>1926048837</v>
          </cell>
        </row>
        <row r="1218">
          <cell r="D1218" t="str">
            <v>SHC</v>
          </cell>
          <cell r="E1218" t="str">
            <v>CTCP Hàng hải Sài Gòn</v>
          </cell>
          <cell r="F1218" t="str">
            <v>Vận tải đường thủy</v>
          </cell>
          <cell r="G1218" t="str">
            <v>UPCoM</v>
          </cell>
          <cell r="H1218">
            <v>4309550</v>
          </cell>
        </row>
        <row r="1219">
          <cell r="D1219" t="str">
            <v>SHE</v>
          </cell>
          <cell r="E1219" t="str">
            <v>CTCP Phát triển năng lượng Sơn Hà</v>
          </cell>
          <cell r="F1219" t="str">
            <v>Sản xuất thiết bị, máy móc</v>
          </cell>
          <cell r="G1219" t="str">
            <v>HNX</v>
          </cell>
          <cell r="H1219">
            <v>6574998</v>
          </cell>
        </row>
        <row r="1220">
          <cell r="D1220" t="str">
            <v>SHG</v>
          </cell>
          <cell r="E1220" t="str">
            <v>Tổng Công ty cổ phần Sông Hồng</v>
          </cell>
          <cell r="F1220" t="str">
            <v>Xây dựng nhà cửa, cao ốc</v>
          </cell>
          <cell r="G1220" t="str">
            <v>UPCoM</v>
          </cell>
          <cell r="H1220">
            <v>27000000</v>
          </cell>
        </row>
        <row r="1221">
          <cell r="D1221" t="str">
            <v>SHI</v>
          </cell>
          <cell r="E1221" t="str">
            <v>CTCP Quốc tế Sơn Hà</v>
          </cell>
          <cell r="F1221" t="str">
            <v>Sản xuất sản phẩm kim loại tổng hợp</v>
          </cell>
          <cell r="G1221" t="str">
            <v>HOSE</v>
          </cell>
          <cell r="H1221">
            <v>100535707</v>
          </cell>
        </row>
        <row r="1222">
          <cell r="D1222" t="str">
            <v>SHN</v>
          </cell>
          <cell r="E1222" t="str">
            <v>CTCP Đầu tư Tổng hợp Hà Nội</v>
          </cell>
          <cell r="F1222" t="str">
            <v>Bán buôn hàng tiêu dùng</v>
          </cell>
          <cell r="G1222" t="str">
            <v>HNX</v>
          </cell>
          <cell r="H1222">
            <v>129607147</v>
          </cell>
        </row>
        <row r="1223">
          <cell r="D1223" t="str">
            <v>SHP</v>
          </cell>
          <cell r="E1223" t="str">
            <v>CTCP Thủy điện Miền Nam</v>
          </cell>
          <cell r="F1223" t="str">
            <v>Phát, truyền tải và phân phối điện năng</v>
          </cell>
          <cell r="G1223" t="str">
            <v>HOSE</v>
          </cell>
          <cell r="H1223">
            <v>93710200</v>
          </cell>
        </row>
        <row r="1224">
          <cell r="D1224" t="str">
            <v>SHS</v>
          </cell>
          <cell r="E1224" t="str">
            <v>CTCP Chứng khoán Sài Gòn - Hà Nội</v>
          </cell>
          <cell r="F1224" t="str">
            <v>Môi giới chứng khoán, hàng hóa, đầu tư tài chính khác và các hoạt động liên quan</v>
          </cell>
          <cell r="G1224" t="str">
            <v>HNX</v>
          </cell>
          <cell r="H1224">
            <v>207268201</v>
          </cell>
        </row>
        <row r="1225">
          <cell r="D1225" t="str">
            <v>SHX</v>
          </cell>
          <cell r="E1225" t="str">
            <v>CTCP Sài Gòn Hỏa xa</v>
          </cell>
          <cell r="F1225" t="str">
            <v>Vận tải đường sắt</v>
          </cell>
          <cell r="G1225" t="str">
            <v>UPCoM</v>
          </cell>
          <cell r="H1225">
            <v>1720000</v>
          </cell>
        </row>
        <row r="1226">
          <cell r="D1226" t="str">
            <v>SIC</v>
          </cell>
          <cell r="E1226" t="str">
            <v>CTCP ANI</v>
          </cell>
          <cell r="F1226" t="str">
            <v>Bất động sản</v>
          </cell>
          <cell r="G1226" t="str">
            <v>HNX</v>
          </cell>
          <cell r="H1226">
            <v>23999270</v>
          </cell>
        </row>
        <row r="1227">
          <cell r="D1227" t="str">
            <v>SID</v>
          </cell>
          <cell r="E1227" t="str">
            <v>CTCP Đầu tư Phát triển Sài Gòn Co.op</v>
          </cell>
          <cell r="F1227" t="str">
            <v>Bất động sản</v>
          </cell>
          <cell r="G1227" t="str">
            <v>UPCoM</v>
          </cell>
          <cell r="H1227">
            <v>100000000</v>
          </cell>
        </row>
        <row r="1228">
          <cell r="D1228" t="str">
            <v>SIG</v>
          </cell>
          <cell r="E1228" t="str">
            <v>CTCP Đầu tư và Thương mại Sông Đà</v>
          </cell>
          <cell r="F1228" t="str">
            <v>Kiến trúc, tư vấn xây dựng và dịch vụ liên quan</v>
          </cell>
          <cell r="G1228" t="str">
            <v>UPCoM</v>
          </cell>
          <cell r="H1228">
            <v>10000000</v>
          </cell>
        </row>
        <row r="1229">
          <cell r="D1229" t="str">
            <v>SII</v>
          </cell>
          <cell r="E1229" t="str">
            <v>CTCP Hạ tầng Nước Sài Gòn</v>
          </cell>
          <cell r="F1229" t="str">
            <v>Nước, chất thải và các hệ thống khác</v>
          </cell>
          <cell r="G1229" t="str">
            <v>HOSE</v>
          </cell>
          <cell r="H1229">
            <v>64522104</v>
          </cell>
        </row>
        <row r="1230">
          <cell r="D1230" t="str">
            <v>SIP</v>
          </cell>
          <cell r="E1230" t="str">
            <v>CTCP Đầu tư Sài Gòn VRG</v>
          </cell>
          <cell r="F1230" t="str">
            <v>Nước, chất thải và các hệ thống khác</v>
          </cell>
          <cell r="G1230" t="str">
            <v>UPCoM</v>
          </cell>
          <cell r="H1230">
            <v>79405357</v>
          </cell>
        </row>
        <row r="1231">
          <cell r="D1231" t="str">
            <v>SIV</v>
          </cell>
          <cell r="E1231" t="str">
            <v>CTCP SIVICO</v>
          </cell>
          <cell r="F1231" t="str">
            <v>Sản xuất hóa chất, dược phẩm</v>
          </cell>
          <cell r="G1231" t="str">
            <v>UPCoM</v>
          </cell>
          <cell r="H1231">
            <v>3012374</v>
          </cell>
        </row>
        <row r="1232">
          <cell r="D1232" t="str">
            <v>SJ1</v>
          </cell>
          <cell r="E1232" t="str">
            <v>CTCP Nông nghiệp Hùng Hậu</v>
          </cell>
          <cell r="F1232" t="str">
            <v>Sản xuất thực phẩm</v>
          </cell>
          <cell r="G1232" t="str">
            <v>HNX</v>
          </cell>
          <cell r="H1232">
            <v>22156060</v>
          </cell>
        </row>
        <row r="1233">
          <cell r="D1233" t="str">
            <v>SJC</v>
          </cell>
          <cell r="E1233" t="str">
            <v>CTCP Sông Đà 1.01</v>
          </cell>
          <cell r="F1233" t="str">
            <v>Bất động sản</v>
          </cell>
          <cell r="G1233" t="str">
            <v>UPCoM</v>
          </cell>
          <cell r="H1233">
            <v>7226082</v>
          </cell>
        </row>
        <row r="1234">
          <cell r="D1234" t="str">
            <v>SJD</v>
          </cell>
          <cell r="E1234" t="str">
            <v>CTCP Thủy điện Cần Đơn</v>
          </cell>
          <cell r="F1234" t="str">
            <v>Phát, truyền tải và phân phối điện năng</v>
          </cell>
          <cell r="G1234" t="str">
            <v>HOSE</v>
          </cell>
          <cell r="H1234">
            <v>68998620</v>
          </cell>
        </row>
        <row r="1235">
          <cell r="D1235" t="str">
            <v>SJE</v>
          </cell>
          <cell r="E1235" t="str">
            <v>CTCP Sông Đà 11</v>
          </cell>
          <cell r="F1235" t="str">
            <v>Xây dựng công nghiệp nặng và dân dụng</v>
          </cell>
          <cell r="G1235" t="str">
            <v>HNX</v>
          </cell>
          <cell r="H1235">
            <v>21971826</v>
          </cell>
        </row>
        <row r="1236">
          <cell r="D1236" t="str">
            <v>SJF</v>
          </cell>
          <cell r="E1236" t="str">
            <v>CTCP Đầu tư Sao Thái Dương</v>
          </cell>
          <cell r="F1236" t="str">
            <v>Trồng trọt</v>
          </cell>
          <cell r="G1236" t="str">
            <v>HOSE</v>
          </cell>
          <cell r="H1236">
            <v>79200000</v>
          </cell>
        </row>
        <row r="1237">
          <cell r="D1237" t="str">
            <v>SJG</v>
          </cell>
          <cell r="E1237" t="str">
            <v>Tổng Công ty Sông Đà - CTCP</v>
          </cell>
          <cell r="F1237" t="str">
            <v>Xây dựng công nghiệp nặng và dân dụng</v>
          </cell>
          <cell r="G1237" t="str">
            <v>UPCoM</v>
          </cell>
          <cell r="H1237">
            <v>449537112</v>
          </cell>
        </row>
        <row r="1238">
          <cell r="D1238" t="str">
            <v>SJM</v>
          </cell>
          <cell r="E1238" t="str">
            <v>CTCP Sông Đà 19</v>
          </cell>
          <cell r="F1238" t="str">
            <v>Xây dựng nhà cửa, cao ốc</v>
          </cell>
          <cell r="G1238" t="str">
            <v>UPCoM</v>
          </cell>
          <cell r="H1238">
            <v>5000000</v>
          </cell>
        </row>
        <row r="1239">
          <cell r="D1239" t="str">
            <v>SJS</v>
          </cell>
          <cell r="E1239" t="str">
            <v>CTCP Đầu tư Phát triển Đô thị và Khu công nghiệp Sông Đà</v>
          </cell>
          <cell r="F1239" t="str">
            <v>Bất động sản</v>
          </cell>
          <cell r="G1239" t="str">
            <v>HOSE</v>
          </cell>
          <cell r="H1239">
            <v>114855540</v>
          </cell>
        </row>
        <row r="1240">
          <cell r="D1240" t="str">
            <v>SKG</v>
          </cell>
          <cell r="E1240" t="str">
            <v>CTCP Tàu cao tốc Superdong - Kiên Giang</v>
          </cell>
          <cell r="F1240" t="str">
            <v>Vận tải đường thủy</v>
          </cell>
          <cell r="G1240" t="str">
            <v>HOSE</v>
          </cell>
          <cell r="H1240">
            <v>63331735</v>
          </cell>
        </row>
        <row r="1241">
          <cell r="D1241" t="str">
            <v>SKH</v>
          </cell>
          <cell r="E1241" t="str">
            <v>CTCP Nước giải khát Sanest Khánh Hòa</v>
          </cell>
          <cell r="F1241" t="str">
            <v>Sản xuất đồ uống và thuốc lá</v>
          </cell>
          <cell r="G1241" t="str">
            <v>UPCoM</v>
          </cell>
          <cell r="H1241">
            <v>16126740</v>
          </cell>
        </row>
        <row r="1242">
          <cell r="D1242" t="str">
            <v>SKN</v>
          </cell>
          <cell r="E1242" t="str">
            <v>CTCP Nước giải khát Sanna Khánh Hòa</v>
          </cell>
          <cell r="F1242" t="str">
            <v>Sản xuất đồ uống và thuốc lá</v>
          </cell>
          <cell r="G1242" t="str">
            <v>UPCoM</v>
          </cell>
          <cell r="H1242">
            <v>5000000</v>
          </cell>
        </row>
        <row r="1243">
          <cell r="D1243" t="str">
            <v>SKV</v>
          </cell>
          <cell r="E1243" t="str">
            <v>CTCP Nước giải khát Yến sào Khánh Hòa</v>
          </cell>
          <cell r="F1243" t="str">
            <v>Sản xuất đồ uống và thuốc lá</v>
          </cell>
          <cell r="G1243" t="str">
            <v>UPCoM</v>
          </cell>
          <cell r="H1243">
            <v>23000000</v>
          </cell>
        </row>
        <row r="1244">
          <cell r="D1244" t="str">
            <v>SLS</v>
          </cell>
          <cell r="E1244" t="str">
            <v>CTCP Mía Đường Sơn La</v>
          </cell>
          <cell r="F1244" t="str">
            <v>Sản xuất thực phẩm</v>
          </cell>
          <cell r="G1244" t="str">
            <v>HNX</v>
          </cell>
          <cell r="H1244">
            <v>9791945</v>
          </cell>
        </row>
        <row r="1245">
          <cell r="D1245" t="str">
            <v>SMA</v>
          </cell>
          <cell r="E1245" t="str">
            <v>CTCP Thiết bị Phụ tùng Sài Gòn</v>
          </cell>
          <cell r="F1245" t="str">
            <v>Bán buôn hàng lâu bền</v>
          </cell>
          <cell r="G1245" t="str">
            <v>HOSE</v>
          </cell>
          <cell r="H1245">
            <v>20352836</v>
          </cell>
        </row>
        <row r="1246">
          <cell r="D1246" t="str">
            <v>SMB</v>
          </cell>
          <cell r="E1246" t="str">
            <v>CTCP Bia Sài Gòn - Miền Trung</v>
          </cell>
          <cell r="F1246" t="str">
            <v>Sản xuất đồ uống và thuốc lá</v>
          </cell>
          <cell r="G1246" t="str">
            <v>HOSE</v>
          </cell>
          <cell r="H1246">
            <v>29846648</v>
          </cell>
        </row>
        <row r="1247">
          <cell r="D1247" t="str">
            <v>SMC</v>
          </cell>
          <cell r="E1247" t="str">
            <v>CTCP Đầu tư Thương mại SMC</v>
          </cell>
          <cell r="F1247" t="str">
            <v>Bán buôn hàng lâu bền</v>
          </cell>
          <cell r="G1247" t="str">
            <v>HOSE</v>
          </cell>
          <cell r="H1247">
            <v>60994691</v>
          </cell>
        </row>
        <row r="1248">
          <cell r="D1248" t="str">
            <v>SMN</v>
          </cell>
          <cell r="E1248" t="str">
            <v>CTCP Sách và Thiết bị Giáo dục Miền Nam</v>
          </cell>
          <cell r="F1248" t="str">
            <v>Công nghiệp xuất bản - Ngoại trừ internet</v>
          </cell>
          <cell r="G1248" t="str">
            <v>HNX</v>
          </cell>
          <cell r="H1248">
            <v>4405000</v>
          </cell>
        </row>
        <row r="1249">
          <cell r="D1249" t="str">
            <v>SMT</v>
          </cell>
          <cell r="E1249" t="str">
            <v>CTCP Sametel</v>
          </cell>
          <cell r="F1249" t="str">
            <v>Sản xuất các sản phẩm điện tử, vi tính</v>
          </cell>
          <cell r="G1249" t="str">
            <v>HNX</v>
          </cell>
          <cell r="H1249">
            <v>5467432</v>
          </cell>
        </row>
        <row r="1250">
          <cell r="D1250" t="str">
            <v>SNC</v>
          </cell>
          <cell r="E1250" t="str">
            <v>CTCP Xuất nhập khẩu Thủy sản Năm Căn</v>
          </cell>
          <cell r="F1250" t="str">
            <v>Sản xuất thực phẩm</v>
          </cell>
          <cell r="G1250" t="str">
            <v>UPCoM</v>
          </cell>
          <cell r="H1250">
            <v>5000000</v>
          </cell>
        </row>
        <row r="1251">
          <cell r="D1251" t="str">
            <v>SNZ</v>
          </cell>
          <cell r="E1251" t="str">
            <v>Tổng Công ty cổ phần Phát triển Khu Công nghiệp</v>
          </cell>
          <cell r="F1251" t="str">
            <v>Phát triển bất động sản</v>
          </cell>
          <cell r="G1251" t="str">
            <v>UPCoM</v>
          </cell>
          <cell r="H1251">
            <v>376500000</v>
          </cell>
        </row>
        <row r="1252">
          <cell r="D1252" t="str">
            <v>SON</v>
          </cell>
          <cell r="E1252" t="str">
            <v>CTCP Cung ứng Nhân lực Quốc tế và Thương mại</v>
          </cell>
          <cell r="F1252" t="str">
            <v>Dịch vụ hành chính và hỗ trợ</v>
          </cell>
          <cell r="G1252" t="str">
            <v>UPCoM</v>
          </cell>
          <cell r="H1252">
            <v>9729930</v>
          </cell>
        </row>
        <row r="1253">
          <cell r="D1253" t="str">
            <v>SP2</v>
          </cell>
          <cell r="E1253" t="str">
            <v>CTCP Thủy điện Sử Pán 2</v>
          </cell>
          <cell r="F1253" t="str">
            <v>Phát, truyền tải và phân phối điện năng</v>
          </cell>
          <cell r="G1253" t="str">
            <v>UPCoM</v>
          </cell>
          <cell r="H1253">
            <v>15246000</v>
          </cell>
        </row>
        <row r="1254">
          <cell r="D1254" t="str">
            <v>SPA</v>
          </cell>
          <cell r="E1254" t="str">
            <v>CTCP Bao bì Sài Gòn</v>
          </cell>
          <cell r="F1254" t="str">
            <v>Sản xuất các sản phẩm nhựa và cao su</v>
          </cell>
          <cell r="G1254" t="str">
            <v>UPCoM</v>
          </cell>
          <cell r="H1254">
            <v>8500000</v>
          </cell>
        </row>
        <row r="1255">
          <cell r="D1255" t="str">
            <v>SPB</v>
          </cell>
          <cell r="E1255" t="str">
            <v>CTCP Sợi Phú Bài</v>
          </cell>
          <cell r="F1255" t="str">
            <v>Sản xuất sợi, vải</v>
          </cell>
          <cell r="G1255" t="str">
            <v>UPCoM</v>
          </cell>
          <cell r="H1255">
            <v>9500000</v>
          </cell>
        </row>
        <row r="1256">
          <cell r="D1256" t="str">
            <v>SPC</v>
          </cell>
          <cell r="E1256" t="str">
            <v>CTCP Bảo vệ Thực vật Sài Gòn</v>
          </cell>
          <cell r="F1256" t="str">
            <v>Sản xuất hóa chất, dược phẩm</v>
          </cell>
          <cell r="G1256" t="str">
            <v>UPCoM</v>
          </cell>
          <cell r="H1256"/>
        </row>
        <row r="1257">
          <cell r="D1257" t="str">
            <v>SPD</v>
          </cell>
          <cell r="E1257" t="str">
            <v>CTCP Xuất nhập khẩu Thủy sản Miền Trung</v>
          </cell>
          <cell r="F1257" t="str">
            <v>Sản xuất thực phẩm</v>
          </cell>
          <cell r="G1257" t="str">
            <v>UPCoM</v>
          </cell>
          <cell r="H1257">
            <v>12000000</v>
          </cell>
        </row>
        <row r="1258">
          <cell r="D1258" t="str">
            <v>SPH</v>
          </cell>
          <cell r="E1258" t="str">
            <v>CTCP Xuất nhập khẩu Thủy sản Hà Nội</v>
          </cell>
          <cell r="F1258" t="str">
            <v>Sản xuất thực phẩm</v>
          </cell>
          <cell r="G1258" t="str">
            <v>UPCoM</v>
          </cell>
          <cell r="H1258">
            <v>10000000</v>
          </cell>
        </row>
        <row r="1259">
          <cell r="D1259" t="str">
            <v>SPI</v>
          </cell>
          <cell r="E1259" t="str">
            <v>CTCP SPI</v>
          </cell>
          <cell r="F1259" t="str">
            <v>Khai khoáng (ngoại trừ dầu mỏ và khí đốt)</v>
          </cell>
          <cell r="G1259" t="str">
            <v>HNX</v>
          </cell>
          <cell r="H1259">
            <v>16815000</v>
          </cell>
        </row>
        <row r="1260">
          <cell r="D1260" t="str">
            <v>SPM</v>
          </cell>
          <cell r="E1260" t="str">
            <v>CTCP SPM</v>
          </cell>
          <cell r="F1260" t="str">
            <v>Sản xuất hóa chất, dược phẩm</v>
          </cell>
          <cell r="G1260" t="str">
            <v>HOSE</v>
          </cell>
          <cell r="H1260">
            <v>14000000</v>
          </cell>
        </row>
        <row r="1261">
          <cell r="D1261" t="str">
            <v>SPP</v>
          </cell>
          <cell r="E1261" t="str">
            <v>CTCP Bao bì Nhựa Sài Gòn</v>
          </cell>
          <cell r="F1261" t="str">
            <v>Sản xuất các sản phẩm nhựa và cao su</v>
          </cell>
          <cell r="G1261" t="str">
            <v>UPCoM</v>
          </cell>
          <cell r="H1261">
            <v>25120000</v>
          </cell>
        </row>
        <row r="1262">
          <cell r="D1262" t="str">
            <v>SPV</v>
          </cell>
          <cell r="E1262" t="str">
            <v>CTCP Thủy Đặc sản</v>
          </cell>
          <cell r="F1262" t="str">
            <v>Sản xuất thực phẩm</v>
          </cell>
          <cell r="G1262" t="str">
            <v>UPCoM</v>
          </cell>
          <cell r="H1262">
            <v>10800000</v>
          </cell>
        </row>
        <row r="1263">
          <cell r="D1263" t="str">
            <v>SQC</v>
          </cell>
          <cell r="E1263" t="str">
            <v>CTCP Khoáng sản Sài Gòn - Quy Nhơn</v>
          </cell>
          <cell r="F1263" t="str">
            <v>Khai khoáng (ngoại trừ dầu mỏ và khí đốt)</v>
          </cell>
          <cell r="G1263" t="str">
            <v>UPCoM</v>
          </cell>
          <cell r="H1263">
            <v>110000000</v>
          </cell>
        </row>
        <row r="1264">
          <cell r="D1264" t="str">
            <v>SRA</v>
          </cell>
          <cell r="E1264" t="str">
            <v>CTCP Sara Việt Nam</v>
          </cell>
          <cell r="F1264" t="str">
            <v>Bán buôn hàng lâu bền</v>
          </cell>
          <cell r="G1264" t="str">
            <v>HNX</v>
          </cell>
          <cell r="H1264">
            <v>25199974</v>
          </cell>
        </row>
        <row r="1265">
          <cell r="D1265" t="str">
            <v>SRB</v>
          </cell>
          <cell r="E1265" t="str">
            <v>CTCP Tập đoàn Sara</v>
          </cell>
          <cell r="F1265" t="str">
            <v>Dịch vụ giáo dục</v>
          </cell>
          <cell r="G1265" t="str">
            <v>UPCoM</v>
          </cell>
          <cell r="H1265">
            <v>8500000</v>
          </cell>
        </row>
        <row r="1266">
          <cell r="D1266" t="str">
            <v>SRC</v>
          </cell>
          <cell r="E1266" t="str">
            <v>CTCP Cao su Sao Vàng</v>
          </cell>
          <cell r="F1266" t="str">
            <v>Sản xuất các sản phẩm nhựa và cao su</v>
          </cell>
          <cell r="G1266" t="str">
            <v>HOSE</v>
          </cell>
          <cell r="H1266">
            <v>28065765</v>
          </cell>
        </row>
        <row r="1267">
          <cell r="D1267" t="str">
            <v>SRF</v>
          </cell>
          <cell r="E1267" t="str">
            <v>CTCP Searefico</v>
          </cell>
          <cell r="F1267" t="str">
            <v>Nhà thầu chuyên môn</v>
          </cell>
          <cell r="G1267" t="str">
            <v>HOSE</v>
          </cell>
          <cell r="H1267">
            <v>32495397</v>
          </cell>
        </row>
        <row r="1268">
          <cell r="D1268" t="str">
            <v>SRT</v>
          </cell>
          <cell r="E1268" t="str">
            <v>CTCP Vận tải Đường sắt Sài Gòn</v>
          </cell>
          <cell r="F1268" t="str">
            <v>Vận tải đường sắt</v>
          </cell>
          <cell r="G1268" t="str">
            <v>UPCoM</v>
          </cell>
          <cell r="H1268">
            <v>50310000</v>
          </cell>
        </row>
        <row r="1269">
          <cell r="D1269" t="str">
            <v>SSB</v>
          </cell>
          <cell r="E1269" t="str">
            <v>Ngân hàng TMCP Đông Nam Á</v>
          </cell>
          <cell r="F1269" t="str">
            <v>Trung gian tín dụng và các hoạt động liên quan</v>
          </cell>
          <cell r="G1269" t="str">
            <v>HOSE</v>
          </cell>
          <cell r="H1269">
            <v>1208744208</v>
          </cell>
        </row>
        <row r="1270">
          <cell r="D1270" t="str">
            <v>SSC</v>
          </cell>
          <cell r="E1270" t="str">
            <v>CTCP Giống cây trồng Miền Nam</v>
          </cell>
          <cell r="F1270" t="str">
            <v>Trồng trọt</v>
          </cell>
          <cell r="G1270" t="str">
            <v>HNX</v>
          </cell>
          <cell r="H1270">
            <v>14992367</v>
          </cell>
        </row>
        <row r="1271">
          <cell r="D1271" t="str">
            <v>SSF</v>
          </cell>
          <cell r="E1271" t="str">
            <v>CTCP Giáo dục G Sài Gòn</v>
          </cell>
          <cell r="F1271" t="str">
            <v>Sản xuất các sản phẩm may mặc</v>
          </cell>
          <cell r="G1271" t="str">
            <v>UPCoM</v>
          </cell>
          <cell r="H1271">
            <v>3200000</v>
          </cell>
        </row>
        <row r="1272">
          <cell r="D1272" t="str">
            <v>SSG</v>
          </cell>
          <cell r="E1272" t="str">
            <v>CTCP Vận tải biển Hải Âu</v>
          </cell>
          <cell r="F1272" t="str">
            <v>Vận tải đường thủy</v>
          </cell>
          <cell r="G1272" t="str">
            <v>UPCoM</v>
          </cell>
          <cell r="H1272">
            <v>5000000</v>
          </cell>
        </row>
        <row r="1273">
          <cell r="D1273" t="str">
            <v>SSH</v>
          </cell>
          <cell r="E1273" t="str">
            <v>CTCP Phát triển Sunshine Homes</v>
          </cell>
          <cell r="F1273" t="str">
            <v>Xây dựng nhà cửa, cao ốc</v>
          </cell>
          <cell r="G1273" t="str">
            <v>UPCoM</v>
          </cell>
          <cell r="H1273">
            <v>250000000</v>
          </cell>
        </row>
        <row r="1274">
          <cell r="D1274" t="str">
            <v>SSI</v>
          </cell>
          <cell r="E1274" t="str">
            <v>CTCP Chứng khoán SSI</v>
          </cell>
          <cell r="F1274" t="str">
            <v>Môi giới chứng khoán, hàng hóa, đầu tư tài chính khác và các hoạt động liên quan</v>
          </cell>
          <cell r="G1274" t="str">
            <v>HOSE</v>
          </cell>
          <cell r="H1274">
            <v>657305104</v>
          </cell>
        </row>
        <row r="1275">
          <cell r="D1275" t="str">
            <v>SSM</v>
          </cell>
          <cell r="E1275" t="str">
            <v>CTCP Chế tạo kết cấu Thép Vneco.SSM</v>
          </cell>
          <cell r="F1275" t="str">
            <v>Sản xuất sản phẩm kim loại tổng hợp</v>
          </cell>
          <cell r="G1275" t="str">
            <v>HNX</v>
          </cell>
          <cell r="H1275">
            <v>5501024</v>
          </cell>
        </row>
        <row r="1276">
          <cell r="D1276" t="str">
            <v>SSN</v>
          </cell>
          <cell r="E1276" t="str">
            <v>CTCP Xuất nhập khẩu Thủy sản Sài Gòn</v>
          </cell>
          <cell r="F1276" t="str">
            <v>Sản xuất thực phẩm</v>
          </cell>
          <cell r="G1276" t="str">
            <v>UPCoM</v>
          </cell>
          <cell r="H1276">
            <v>39600000</v>
          </cell>
        </row>
        <row r="1277">
          <cell r="D1277" t="str">
            <v>SSU</v>
          </cell>
          <cell r="E1277" t="str">
            <v>CTCP Môi trường Đô thị Sóc Sơn</v>
          </cell>
          <cell r="F1277" t="str">
            <v>Nước, chất thải và các hệ thống khác</v>
          </cell>
          <cell r="G1277" t="str">
            <v>UPCoM</v>
          </cell>
          <cell r="H1277">
            <v>2500000</v>
          </cell>
        </row>
        <row r="1278">
          <cell r="D1278" t="str">
            <v>ST8</v>
          </cell>
          <cell r="E1278" t="str">
            <v>CTCP Siêu Thanh</v>
          </cell>
          <cell r="F1278" t="str">
            <v>Bán buôn hàng lâu bền</v>
          </cell>
          <cell r="G1278" t="str">
            <v>HOSE</v>
          </cell>
          <cell r="H1278">
            <v>25720902</v>
          </cell>
        </row>
        <row r="1279">
          <cell r="D1279" t="str">
            <v>STB</v>
          </cell>
          <cell r="E1279" t="str">
            <v>Ngân hàng TMCP Sài Gòn Thương Tín</v>
          </cell>
          <cell r="F1279" t="str">
            <v>Trung gian tín dụng và các hoạt động liên quan</v>
          </cell>
          <cell r="G1279" t="str">
            <v>HOSE</v>
          </cell>
          <cell r="H1279">
            <v>1885215716</v>
          </cell>
        </row>
        <row r="1280">
          <cell r="D1280" t="str">
            <v>STC</v>
          </cell>
          <cell r="E1280" t="str">
            <v>CTCP Sách và Thiết bị Trường học Thành phố Hồ Chí Minh</v>
          </cell>
          <cell r="F1280" t="str">
            <v>Công nghiệp xuất bản - Ngoại trừ internet</v>
          </cell>
          <cell r="G1280" t="str">
            <v>HNX</v>
          </cell>
          <cell r="H1280">
            <v>5665530</v>
          </cell>
        </row>
        <row r="1281">
          <cell r="D1281" t="str">
            <v>STG</v>
          </cell>
          <cell r="E1281" t="str">
            <v>CTCP Kho vận Miền Nam</v>
          </cell>
          <cell r="F1281" t="str">
            <v>Kho bãi</v>
          </cell>
          <cell r="G1281" t="str">
            <v>HOSE</v>
          </cell>
          <cell r="H1281">
            <v>98253357</v>
          </cell>
        </row>
        <row r="1282">
          <cell r="D1282" t="str">
            <v>STH</v>
          </cell>
          <cell r="E1282" t="str">
            <v>CTCP Phát hành Sách Thái Nguyên</v>
          </cell>
          <cell r="F1282" t="str">
            <v>Bán lẻ hàng hóa khác</v>
          </cell>
          <cell r="G1282" t="str">
            <v>UPCoM</v>
          </cell>
          <cell r="H1282">
            <v>19500000</v>
          </cell>
        </row>
        <row r="1283">
          <cell r="D1283" t="str">
            <v>STK</v>
          </cell>
          <cell r="E1283" t="str">
            <v>CTCP Sợi Thế Kỷ</v>
          </cell>
          <cell r="F1283" t="str">
            <v>Sản xuất sợi, vải</v>
          </cell>
          <cell r="G1283" t="str">
            <v>HOSE</v>
          </cell>
          <cell r="H1283">
            <v>70726944</v>
          </cell>
        </row>
        <row r="1284">
          <cell r="D1284" t="str">
            <v>STL</v>
          </cell>
          <cell r="E1284" t="str">
            <v>CTCP Sông Đà Thăng Long</v>
          </cell>
          <cell r="F1284" t="str">
            <v>Bất động sản</v>
          </cell>
          <cell r="G1284" t="str">
            <v>UPCoM</v>
          </cell>
          <cell r="H1284">
            <v>15000000</v>
          </cell>
        </row>
        <row r="1285">
          <cell r="D1285" t="str">
            <v>STP</v>
          </cell>
          <cell r="E1285" t="str">
            <v>CTCP Công nghiệp Thương mại Sông Đà</v>
          </cell>
          <cell r="F1285" t="str">
            <v>Sản xuất giấy</v>
          </cell>
          <cell r="G1285" t="str">
            <v>HNX</v>
          </cell>
          <cell r="H1285">
            <v>8045744</v>
          </cell>
        </row>
        <row r="1286">
          <cell r="D1286" t="str">
            <v>STS</v>
          </cell>
          <cell r="E1286" t="str">
            <v>CTCP Dịch vụ Vận tải Sài Gòn</v>
          </cell>
          <cell r="F1286" t="str">
            <v>Hỗ trợ vận tải</v>
          </cell>
          <cell r="G1286" t="str">
            <v>UPCoM</v>
          </cell>
          <cell r="H1286">
            <v>2768221</v>
          </cell>
        </row>
        <row r="1287">
          <cell r="D1287" t="str">
            <v>STT</v>
          </cell>
          <cell r="E1287" t="str">
            <v>CTCP Vận chuyển Sài Gòn Tourist</v>
          </cell>
          <cell r="F1287" t="str">
            <v>Vận chuyển du lịch</v>
          </cell>
          <cell r="G1287" t="str">
            <v>UPCoM</v>
          </cell>
          <cell r="H1287">
            <v>8000000</v>
          </cell>
        </row>
        <row r="1288">
          <cell r="D1288" t="str">
            <v>STW</v>
          </cell>
          <cell r="E1288" t="str">
            <v>CTCP Cấp nước Sóc Trăng</v>
          </cell>
          <cell r="F1288" t="str">
            <v>Nước, chất thải và các hệ thống khác</v>
          </cell>
          <cell r="G1288" t="str">
            <v>UPCoM</v>
          </cell>
          <cell r="H1288">
            <v>15863133</v>
          </cell>
        </row>
        <row r="1289">
          <cell r="D1289" t="str">
            <v>SUM</v>
          </cell>
          <cell r="E1289" t="str">
            <v>CTCP Đo đạc và Khoáng sản</v>
          </cell>
          <cell r="F1289" t="str">
            <v>Kiến trúc, tư vấn xây dựng và dịch vụ liên quan</v>
          </cell>
          <cell r="G1289" t="str">
            <v>UPCoM</v>
          </cell>
          <cell r="H1289">
            <v>2380000</v>
          </cell>
        </row>
        <row r="1290">
          <cell r="D1290" t="str">
            <v>SVC</v>
          </cell>
          <cell r="E1290" t="str">
            <v>CTCP Dịch vụ Tổng hợp Sài Gòn</v>
          </cell>
          <cell r="F1290" t="str">
            <v>Bán lẻ xe hơi và phụ tùng</v>
          </cell>
          <cell r="G1290" t="str">
            <v>HOSE</v>
          </cell>
          <cell r="H1290">
            <v>33320532</v>
          </cell>
        </row>
        <row r="1291">
          <cell r="D1291" t="str">
            <v>SVD</v>
          </cell>
          <cell r="E1291" t="str">
            <v>CTCP Đầu tư &amp; Thương mại Vũ Đăng</v>
          </cell>
          <cell r="F1291" t="str">
            <v>Sản xuất sợi, vải</v>
          </cell>
          <cell r="G1291" t="str">
            <v>HOSE</v>
          </cell>
          <cell r="H1291">
            <v>12900000</v>
          </cell>
        </row>
        <row r="1292">
          <cell r="D1292" t="str">
            <v>SVG</v>
          </cell>
          <cell r="E1292" t="str">
            <v>CTCP Hơi Kỹ nghệ Que hàn</v>
          </cell>
          <cell r="F1292" t="str">
            <v>Sản xuất khác</v>
          </cell>
          <cell r="G1292" t="str">
            <v>UPCoM</v>
          </cell>
          <cell r="H1292">
            <v>29350000</v>
          </cell>
        </row>
        <row r="1293">
          <cell r="D1293" t="str">
            <v>SVH</v>
          </cell>
          <cell r="E1293" t="str">
            <v>CTCP Thủy điện Sông Vàng</v>
          </cell>
          <cell r="F1293" t="str">
            <v>Phát, truyền tải và phân phối điện năng</v>
          </cell>
          <cell r="G1293" t="str">
            <v>UPCoM</v>
          </cell>
          <cell r="H1293">
            <v>14820662</v>
          </cell>
        </row>
        <row r="1294">
          <cell r="D1294" t="str">
            <v>SVI</v>
          </cell>
          <cell r="E1294" t="str">
            <v>CTCP Bao bì Biên Hòa</v>
          </cell>
          <cell r="F1294" t="str">
            <v>Sản xuất giấy</v>
          </cell>
          <cell r="G1294" t="str">
            <v>HOSE</v>
          </cell>
          <cell r="H1294">
            <v>12832437</v>
          </cell>
        </row>
        <row r="1295">
          <cell r="D1295" t="str">
            <v>SVL</v>
          </cell>
          <cell r="E1295" t="str">
            <v>CTCP Nhân lực Quốc tế Sovilaco</v>
          </cell>
          <cell r="F1295" t="str">
            <v>Quản lý các chương trình nguồn nhân lực</v>
          </cell>
          <cell r="G1295" t="str">
            <v>UPCoM</v>
          </cell>
          <cell r="H1295">
            <v>3270858</v>
          </cell>
        </row>
        <row r="1296">
          <cell r="D1296" t="str">
            <v>SVN</v>
          </cell>
          <cell r="E1296" t="str">
            <v>CTCP Tập đoàn Vexilla Việt Nam</v>
          </cell>
          <cell r="F1296" t="str">
            <v>Kinh doanh vật liệu xây dựng, trang thiết bị làm vườn</v>
          </cell>
          <cell r="G1296" t="str">
            <v>HNX</v>
          </cell>
          <cell r="H1296">
            <v>21000000</v>
          </cell>
        </row>
        <row r="1297">
          <cell r="D1297" t="str">
            <v>SVT</v>
          </cell>
          <cell r="E1297" t="str">
            <v>CTCP Công nghệ Sài Gòn Viễn Đông</v>
          </cell>
          <cell r="F1297" t="str">
            <v>Sản xuất phương tiện vận tải</v>
          </cell>
          <cell r="G1297" t="str">
            <v>HOSE</v>
          </cell>
          <cell r="H1297">
            <v>11579574</v>
          </cell>
        </row>
        <row r="1298">
          <cell r="D1298" t="str">
            <v>SWC</v>
          </cell>
          <cell r="E1298" t="str">
            <v>Tổng Công ty cổ phần Đường sông Miền Nam</v>
          </cell>
          <cell r="F1298" t="str">
            <v>Vận tải đường thủy</v>
          </cell>
          <cell r="G1298" t="str">
            <v>UPCoM</v>
          </cell>
          <cell r="H1298">
            <v>67100000</v>
          </cell>
        </row>
        <row r="1299">
          <cell r="D1299" t="str">
            <v>SZB</v>
          </cell>
          <cell r="E1299" t="str">
            <v>CTCP Sonadezi Long Bình</v>
          </cell>
          <cell r="F1299" t="str">
            <v>Bất động sản</v>
          </cell>
          <cell r="G1299" t="str">
            <v>HNX</v>
          </cell>
          <cell r="H1299">
            <v>30000000</v>
          </cell>
        </row>
        <row r="1300">
          <cell r="D1300" t="str">
            <v>SZC</v>
          </cell>
          <cell r="E1300" t="str">
            <v>CTCP Sonadezi Châu Đức</v>
          </cell>
          <cell r="F1300" t="str">
            <v>Bất động sản</v>
          </cell>
          <cell r="G1300" t="str">
            <v>HOSE</v>
          </cell>
          <cell r="H1300">
            <v>100000000</v>
          </cell>
        </row>
        <row r="1301">
          <cell r="D1301" t="str">
            <v>SZE</v>
          </cell>
          <cell r="E1301" t="str">
            <v>CTCP Môi trường Sonadezi</v>
          </cell>
          <cell r="F1301" t="str">
            <v>Dịch vụ quản lý và tái chế chất thải</v>
          </cell>
          <cell r="G1301" t="str">
            <v>UPCoM</v>
          </cell>
          <cell r="H1301">
            <v>30000000</v>
          </cell>
        </row>
        <row r="1302">
          <cell r="D1302" t="str">
            <v>SZL</v>
          </cell>
          <cell r="E1302" t="str">
            <v>CTCP Sonadezi Long Thành</v>
          </cell>
          <cell r="F1302" t="str">
            <v>Bất động sản</v>
          </cell>
          <cell r="G1302" t="str">
            <v>HOSE</v>
          </cell>
          <cell r="H1302">
            <v>20000000</v>
          </cell>
        </row>
        <row r="1303">
          <cell r="D1303" t="str">
            <v>T12</v>
          </cell>
          <cell r="E1303" t="str">
            <v>CTCP Thương mại Dịch vụ Tràng Thi</v>
          </cell>
          <cell r="F1303" t="str">
            <v>Bán buôn hàng lâu bền</v>
          </cell>
          <cell r="G1303" t="str">
            <v>UPCoM</v>
          </cell>
          <cell r="H1303">
            <v>54000000</v>
          </cell>
        </row>
        <row r="1304">
          <cell r="D1304" t="str">
            <v>TA3</v>
          </cell>
          <cell r="E1304" t="str">
            <v>CTCP Đầu tư và Xây lắp Thành An 386</v>
          </cell>
          <cell r="F1304" t="str">
            <v>Xây dựng công nghiệp nặng và dân dụng</v>
          </cell>
          <cell r="G1304" t="str">
            <v>UPCoM</v>
          </cell>
          <cell r="H1304">
            <v>2309908</v>
          </cell>
        </row>
        <row r="1305">
          <cell r="D1305" t="str">
            <v>TA6</v>
          </cell>
          <cell r="E1305" t="str">
            <v>CTCP Đầu tư và Xây lắp Thành An 665</v>
          </cell>
          <cell r="F1305" t="str">
            <v>Xây dựng công nghiệp nặng và dân dụng</v>
          </cell>
          <cell r="G1305" t="str">
            <v>UPCoM</v>
          </cell>
          <cell r="H1305">
            <v>3000000</v>
          </cell>
        </row>
        <row r="1306">
          <cell r="D1306" t="str">
            <v>TA9</v>
          </cell>
          <cell r="E1306" t="str">
            <v>CTCP Xây lắp Thành An 96</v>
          </cell>
          <cell r="F1306" t="str">
            <v>Xây dựng công nghiệp nặng và dân dụng</v>
          </cell>
          <cell r="G1306" t="str">
            <v>HNX</v>
          </cell>
          <cell r="H1306"/>
        </row>
        <row r="1307">
          <cell r="D1307" t="str">
            <v>TAC</v>
          </cell>
          <cell r="E1307" t="str">
            <v>CTCP Dầu thực vật Tường An</v>
          </cell>
          <cell r="F1307" t="str">
            <v>Sản xuất thực phẩm</v>
          </cell>
          <cell r="G1307" t="str">
            <v>HOSE</v>
          </cell>
          <cell r="H1307">
            <v>33879648</v>
          </cell>
        </row>
        <row r="1308">
          <cell r="D1308" t="str">
            <v>TAG</v>
          </cell>
          <cell r="E1308" t="str">
            <v>CTCP Thế Giới Số Trần Anh</v>
          </cell>
          <cell r="F1308" t="str">
            <v>Cửa hàng thiết bị điện tử gia đình</v>
          </cell>
          <cell r="G1308" t="str">
            <v>UPCoM</v>
          </cell>
          <cell r="H1308">
            <v>24914991</v>
          </cell>
        </row>
        <row r="1309">
          <cell r="D1309" t="str">
            <v>TAN</v>
          </cell>
          <cell r="E1309" t="str">
            <v>CTCP Cà phê Thuận An</v>
          </cell>
          <cell r="F1309" t="str">
            <v>Trồng trọt</v>
          </cell>
          <cell r="G1309" t="str">
            <v>UPCoM</v>
          </cell>
          <cell r="H1309">
            <v>1613690</v>
          </cell>
        </row>
        <row r="1310">
          <cell r="D1310" t="str">
            <v>TAP</v>
          </cell>
          <cell r="E1310" t="str">
            <v>CTCP Đô thị Tân An</v>
          </cell>
          <cell r="F1310" t="str">
            <v>Nước, chất thải và các hệ thống khác</v>
          </cell>
          <cell r="G1310" t="str">
            <v>UPCoM</v>
          </cell>
          <cell r="H1310">
            <v>1416700</v>
          </cell>
        </row>
        <row r="1311">
          <cell r="D1311" t="str">
            <v>TAR</v>
          </cell>
          <cell r="E1311" t="str">
            <v>CTCP Nông nghiệp Công nghệ cao Trung An</v>
          </cell>
          <cell r="F1311" t="str">
            <v>Sản xuất thực phẩm</v>
          </cell>
          <cell r="G1311" t="str">
            <v>HNX</v>
          </cell>
          <cell r="H1311">
            <v>41999977</v>
          </cell>
        </row>
        <row r="1312">
          <cell r="D1312" t="str">
            <v>TAW</v>
          </cell>
          <cell r="E1312" t="str">
            <v>CTCP Cấp nước Trung An</v>
          </cell>
          <cell r="F1312" t="str">
            <v>Nước, chất thải và các hệ thống khác</v>
          </cell>
          <cell r="G1312" t="str">
            <v>UPCoM</v>
          </cell>
          <cell r="H1312">
            <v>5000000</v>
          </cell>
        </row>
        <row r="1313">
          <cell r="D1313" t="str">
            <v>TB8</v>
          </cell>
          <cell r="E1313" t="str">
            <v>CTCP Sản xuất và Kinh doanh Vật tư Thiết bị - VVMI</v>
          </cell>
          <cell r="F1313" t="str">
            <v>Sản xuất thiết bị, máy móc</v>
          </cell>
          <cell r="G1313" t="str">
            <v>UPCoM</v>
          </cell>
          <cell r="H1313">
            <v>1250000</v>
          </cell>
        </row>
        <row r="1314">
          <cell r="D1314" t="str">
            <v>TBC</v>
          </cell>
          <cell r="E1314" t="str">
            <v>CTCP Thủy điện Thác Bà</v>
          </cell>
          <cell r="F1314" t="str">
            <v>Phát, truyền tải và phân phối điện năng</v>
          </cell>
          <cell r="G1314" t="str">
            <v>HOSE</v>
          </cell>
          <cell r="H1314">
            <v>63500000</v>
          </cell>
        </row>
        <row r="1315">
          <cell r="D1315" t="str">
            <v>TBD</v>
          </cell>
          <cell r="E1315" t="str">
            <v>Tổng Công ty Thiết bị Điện Đông Anh - CTCP</v>
          </cell>
          <cell r="F1315" t="str">
            <v>Sản xuất trang thiết bị, dụng cụ điện</v>
          </cell>
          <cell r="G1315" t="str">
            <v>UPCoM</v>
          </cell>
          <cell r="H1315">
            <v>32486392</v>
          </cell>
        </row>
        <row r="1316">
          <cell r="D1316" t="str">
            <v>TBH</v>
          </cell>
          <cell r="E1316" t="str">
            <v>CTCP Tổng Bách hóa</v>
          </cell>
          <cell r="F1316" t="str">
            <v>Bán buôn hàng tiêu dùng</v>
          </cell>
          <cell r="G1316" t="str">
            <v>UPCoM</v>
          </cell>
          <cell r="H1316">
            <v>93117800</v>
          </cell>
        </row>
        <row r="1317">
          <cell r="D1317" t="str">
            <v>TBT</v>
          </cell>
          <cell r="E1317" t="str">
            <v>CTCP Xây dựng Công trình Giao thông Bến Tre</v>
          </cell>
          <cell r="F1317" t="str">
            <v>Xây dựng công nghiệp nặng và dân dụng</v>
          </cell>
          <cell r="G1317" t="str">
            <v>UPCoM</v>
          </cell>
          <cell r="H1317">
            <v>1656470</v>
          </cell>
        </row>
        <row r="1318">
          <cell r="D1318" t="str">
            <v>TBX</v>
          </cell>
          <cell r="E1318" t="str">
            <v>CTCP Xi măng Thái Bình</v>
          </cell>
          <cell r="F1318" t="str">
            <v>Sản xuất sản phẩm khoáng chất phi kim</v>
          </cell>
          <cell r="G1318" t="str">
            <v>HNX</v>
          </cell>
          <cell r="H1318">
            <v>1510280</v>
          </cell>
        </row>
        <row r="1319">
          <cell r="D1319" t="str">
            <v>TC6</v>
          </cell>
          <cell r="E1319" t="str">
            <v>CTCP Than Cọc Sáu - Vinacomin</v>
          </cell>
          <cell r="F1319" t="str">
            <v>Khai khoáng (ngoại trừ dầu mỏ và khí đốt)</v>
          </cell>
          <cell r="G1319" t="str">
            <v>HNX</v>
          </cell>
          <cell r="H1319">
            <v>32496105</v>
          </cell>
        </row>
        <row r="1320">
          <cell r="D1320" t="str">
            <v>TCB</v>
          </cell>
          <cell r="E1320" t="str">
            <v>Ngân hàng TMCP Kỹ thương Việt Nam</v>
          </cell>
          <cell r="F1320" t="str">
            <v>Trung gian tín dụng và các hoạt động liên quan</v>
          </cell>
          <cell r="G1320" t="str">
            <v>HOSE</v>
          </cell>
          <cell r="H1320">
            <v>3504906230</v>
          </cell>
        </row>
        <row r="1321">
          <cell r="D1321" t="str">
            <v>TCD</v>
          </cell>
          <cell r="E1321" t="str">
            <v>CTCP Đầu tư Phát triển Công nghiệp và Vận tải</v>
          </cell>
          <cell r="F1321" t="str">
            <v>Xây dựng công nghiệp nặng và dân dụng</v>
          </cell>
          <cell r="G1321" t="str">
            <v>HOSE</v>
          </cell>
          <cell r="H1321">
            <v>87209152</v>
          </cell>
        </row>
        <row r="1322">
          <cell r="D1322" t="str">
            <v>TCH</v>
          </cell>
          <cell r="E1322" t="str">
            <v>CTCP Đầu tư Dịch vụ Tài chính Hoàng Huy</v>
          </cell>
          <cell r="F1322" t="str">
            <v>Phát triển bất động sản</v>
          </cell>
          <cell r="G1322" t="str">
            <v>HOSE</v>
          </cell>
          <cell r="H1322">
            <v>399175744</v>
          </cell>
        </row>
        <row r="1323">
          <cell r="D1323" t="str">
            <v>TCI</v>
          </cell>
          <cell r="E1323" t="str">
            <v>CTCP Chứng khoán Thành Công</v>
          </cell>
          <cell r="F1323" t="str">
            <v>Môi giới chứng khoán, hàng hóa, đầu tư tài chính khác và các hoạt động liên quan</v>
          </cell>
          <cell r="G1323" t="str">
            <v>UPCoM</v>
          </cell>
          <cell r="H1323">
            <v>49500000</v>
          </cell>
        </row>
        <row r="1324">
          <cell r="D1324" t="str">
            <v>TCJ</v>
          </cell>
          <cell r="E1324" t="str">
            <v>CTCP Tô Châu</v>
          </cell>
          <cell r="F1324" t="str">
            <v>Sản xuất thực phẩm</v>
          </cell>
          <cell r="G1324" t="str">
            <v>UPCoM</v>
          </cell>
          <cell r="H1324">
            <v>10000000</v>
          </cell>
        </row>
        <row r="1325">
          <cell r="D1325" t="str">
            <v>TCK</v>
          </cell>
          <cell r="E1325" t="str">
            <v>Tổng Công ty Cơ khí Xây dựng - CTCP</v>
          </cell>
          <cell r="F1325" t="str">
            <v>Sản xuất thiết bị, máy móc</v>
          </cell>
          <cell r="G1325" t="str">
            <v>UPCoM</v>
          </cell>
          <cell r="H1325">
            <v>23850000</v>
          </cell>
        </row>
        <row r="1326">
          <cell r="D1326" t="str">
            <v>TCL</v>
          </cell>
          <cell r="E1326" t="str">
            <v>CTCP Đại lý Giao nhận Vận tải Xếp dỡ Tân Cảng</v>
          </cell>
          <cell r="F1326" t="str">
            <v>Hỗ trợ vận tải</v>
          </cell>
          <cell r="G1326" t="str">
            <v>HOSE</v>
          </cell>
          <cell r="H1326">
            <v>30158436</v>
          </cell>
        </row>
        <row r="1327">
          <cell r="D1327" t="str">
            <v>TCM</v>
          </cell>
          <cell r="E1327" t="str">
            <v>CTCP Dệt may - Đầu tư - Thương mại Thành Công</v>
          </cell>
          <cell r="F1327" t="str">
            <v>Sản xuất các sản phẩm may mặc</v>
          </cell>
          <cell r="G1327" t="str">
            <v>HOSE</v>
          </cell>
          <cell r="H1327">
            <v>71360808</v>
          </cell>
        </row>
        <row r="1328">
          <cell r="D1328" t="str">
            <v>TCO</v>
          </cell>
          <cell r="E1328" t="str">
            <v>CTCP Vận tải Đa phương thức Duyên Hải</v>
          </cell>
          <cell r="F1328" t="str">
            <v>Hỗ trợ vận tải</v>
          </cell>
          <cell r="G1328" t="str">
            <v>HOSE</v>
          </cell>
          <cell r="H1328">
            <v>18711000</v>
          </cell>
        </row>
        <row r="1329">
          <cell r="D1329" t="str">
            <v>TCR</v>
          </cell>
          <cell r="E1329" t="str">
            <v>CTCP Công nghiệp Gốm sứ Taicera</v>
          </cell>
          <cell r="F1329" t="str">
            <v>Sản xuất sản phẩm khoáng chất phi kim</v>
          </cell>
          <cell r="G1329" t="str">
            <v>HOSE</v>
          </cell>
          <cell r="H1329">
            <v>10373190</v>
          </cell>
        </row>
        <row r="1330">
          <cell r="D1330" t="str">
            <v>TCT</v>
          </cell>
          <cell r="E1330" t="str">
            <v>CTCP Cáp treo Núi Bà Tây Ninh</v>
          </cell>
          <cell r="F1330" t="str">
            <v>Vận chuyển du lịch</v>
          </cell>
          <cell r="G1330" t="str">
            <v>HOSE</v>
          </cell>
          <cell r="H1330">
            <v>12788000</v>
          </cell>
        </row>
        <row r="1331">
          <cell r="D1331" t="str">
            <v>TCW</v>
          </cell>
          <cell r="E1331" t="str">
            <v>CTCP Kho Vận Tân Cảng</v>
          </cell>
          <cell r="F1331" t="str">
            <v>Hỗ trợ vận tải</v>
          </cell>
          <cell r="G1331" t="str">
            <v>UPCoM</v>
          </cell>
          <cell r="H1331">
            <v>19991020</v>
          </cell>
        </row>
        <row r="1332">
          <cell r="D1332" t="str">
            <v>TDB</v>
          </cell>
          <cell r="E1332" t="str">
            <v>CTCP Thủy điện Định Bình</v>
          </cell>
          <cell r="F1332" t="str">
            <v>Phát, truyền tải và phân phối điện năng</v>
          </cell>
          <cell r="G1332" t="str">
            <v>UPCoM</v>
          </cell>
          <cell r="H1332">
            <v>8230000</v>
          </cell>
        </row>
        <row r="1333">
          <cell r="D1333" t="str">
            <v>TDC</v>
          </cell>
          <cell r="E1333" t="str">
            <v>CTCP Kinh doanh và Phát triển Bình Dương</v>
          </cell>
          <cell r="F1333" t="str">
            <v>Phát triển bất động sản</v>
          </cell>
          <cell r="G1333" t="str">
            <v>HOSE</v>
          </cell>
          <cell r="H1333">
            <v>100000000</v>
          </cell>
        </row>
        <row r="1334">
          <cell r="D1334" t="str">
            <v>TDF</v>
          </cell>
          <cell r="E1334" t="str">
            <v>CTCP Trung Đô</v>
          </cell>
          <cell r="F1334" t="str">
            <v>Sản xuất sản phẩm khoáng chất phi kim</v>
          </cell>
          <cell r="G1334" t="str">
            <v>UPCoM</v>
          </cell>
          <cell r="H1334">
            <v>30000000</v>
          </cell>
        </row>
        <row r="1335">
          <cell r="D1335" t="str">
            <v>TDG</v>
          </cell>
          <cell r="E1335" t="str">
            <v>CTCP Đầu tư TDG GLOBAL</v>
          </cell>
          <cell r="F1335" t="str">
            <v>Bán buôn hàng tiêu dùng</v>
          </cell>
          <cell r="G1335" t="str">
            <v>HOSE</v>
          </cell>
          <cell r="H1335">
            <v>16770000</v>
          </cell>
        </row>
        <row r="1336">
          <cell r="D1336" t="str">
            <v>TDH</v>
          </cell>
          <cell r="E1336" t="str">
            <v>CTCP Phát triển Nhà Thủ Đức</v>
          </cell>
          <cell r="F1336" t="str">
            <v>Bất động sản</v>
          </cell>
          <cell r="G1336" t="str">
            <v>HOSE</v>
          </cell>
          <cell r="H1336">
            <v>112652767</v>
          </cell>
        </row>
        <row r="1337">
          <cell r="D1337" t="str">
            <v>TDM</v>
          </cell>
          <cell r="E1337" t="str">
            <v>CTCP Nước Thủ Dầu Một</v>
          </cell>
          <cell r="F1337" t="str">
            <v>Nước, chất thải và các hệ thống khác</v>
          </cell>
          <cell r="G1337" t="str">
            <v>HOSE</v>
          </cell>
          <cell r="H1337">
            <v>100000000</v>
          </cell>
        </row>
        <row r="1338">
          <cell r="D1338" t="str">
            <v>TDN</v>
          </cell>
          <cell r="E1338" t="str">
            <v>CTCP Than Đèo Nai - Vinacomin</v>
          </cell>
          <cell r="F1338" t="str">
            <v>Khai khoáng (ngoại trừ dầu mỏ và khí đốt)</v>
          </cell>
          <cell r="G1338" t="str">
            <v>HNX</v>
          </cell>
          <cell r="H1338">
            <v>29439097</v>
          </cell>
        </row>
        <row r="1339">
          <cell r="D1339" t="str">
            <v>TDP</v>
          </cell>
          <cell r="E1339" t="str">
            <v>CTCP Thuận Đức</v>
          </cell>
          <cell r="F1339" t="str">
            <v>Sản xuất các sản phẩm nhựa và cao su</v>
          </cell>
          <cell r="G1339" t="str">
            <v>HOSE</v>
          </cell>
          <cell r="H1339">
            <v>60210902</v>
          </cell>
        </row>
        <row r="1340">
          <cell r="D1340" t="str">
            <v>TDS</v>
          </cell>
          <cell r="E1340" t="str">
            <v>CTCP Thép Thủ Đức - VNSTEEL</v>
          </cell>
          <cell r="F1340" t="str">
            <v>Sản xuất các sản phẩm kim loại cơ bản</v>
          </cell>
          <cell r="G1340" t="str">
            <v>UPCoM</v>
          </cell>
          <cell r="H1340">
            <v>12225393</v>
          </cell>
        </row>
        <row r="1341">
          <cell r="D1341" t="str">
            <v>TDT</v>
          </cell>
          <cell r="E1341" t="str">
            <v>CTCP Đầu tư và Phát triển TDT</v>
          </cell>
          <cell r="F1341" t="str">
            <v>Sản xuất các sản phẩm may mặc</v>
          </cell>
          <cell r="G1341" t="str">
            <v>HNX</v>
          </cell>
          <cell r="H1341">
            <v>13946144</v>
          </cell>
        </row>
        <row r="1342">
          <cell r="D1342" t="str">
            <v>TDW</v>
          </cell>
          <cell r="E1342" t="str">
            <v>CTCP Cấp nước Thủ Đức</v>
          </cell>
          <cell r="F1342" t="str">
            <v>Nước, chất thải và các hệ thống khác</v>
          </cell>
          <cell r="G1342" t="str">
            <v>HOSE</v>
          </cell>
          <cell r="H1342">
            <v>8500000</v>
          </cell>
        </row>
        <row r="1343">
          <cell r="D1343" t="str">
            <v>TEC</v>
          </cell>
          <cell r="E1343" t="str">
            <v>CTCP TRAENCO</v>
          </cell>
          <cell r="F1343" t="str">
            <v>Tổ chức tôn giáo, từ thiện, dân sự, nghề nghiệp và các tổ chức tương tự</v>
          </cell>
          <cell r="G1343" t="str">
            <v>UPCoM</v>
          </cell>
          <cell r="H1343">
            <v>1660340</v>
          </cell>
        </row>
        <row r="1344">
          <cell r="D1344" t="str">
            <v>TEG</v>
          </cell>
          <cell r="E1344" t="str">
            <v>CTCP Năng lượng và Bất động sản Trường Thành</v>
          </cell>
          <cell r="F1344" t="str">
            <v>Sản xuất sản phẩm khoáng chất phi kim</v>
          </cell>
          <cell r="G1344" t="str">
            <v>HOSE</v>
          </cell>
          <cell r="H1344">
            <v>32383642</v>
          </cell>
        </row>
        <row r="1345">
          <cell r="D1345" t="str">
            <v>TEL</v>
          </cell>
          <cell r="E1345" t="str">
            <v>CTCP Phát triển Công trình Viễn thông</v>
          </cell>
          <cell r="F1345" t="str">
            <v>Xây dựng công nghiệp nặng và dân dụng</v>
          </cell>
          <cell r="G1345" t="str">
            <v>UPCoM</v>
          </cell>
          <cell r="H1345">
            <v>5000000</v>
          </cell>
        </row>
        <row r="1346">
          <cell r="D1346" t="str">
            <v>TET</v>
          </cell>
          <cell r="E1346" t="str">
            <v>CTCP Vải sợi May mặc Miền Bắc</v>
          </cell>
          <cell r="F1346" t="str">
            <v>Sản xuất các sản phẩm may mặc</v>
          </cell>
          <cell r="G1346" t="str">
            <v>HNX</v>
          </cell>
          <cell r="H1346">
            <v>5702940</v>
          </cell>
        </row>
        <row r="1347">
          <cell r="D1347" t="str">
            <v>TFC</v>
          </cell>
          <cell r="E1347" t="str">
            <v>CTCP Trang</v>
          </cell>
          <cell r="F1347" t="str">
            <v>Sản xuất thực phẩm</v>
          </cell>
          <cell r="G1347" t="str">
            <v>HNX</v>
          </cell>
          <cell r="H1347">
            <v>16829994</v>
          </cell>
        </row>
        <row r="1348">
          <cell r="D1348" t="str">
            <v>TGG</v>
          </cell>
          <cell r="E1348" t="str">
            <v>CTCP Louis Capital</v>
          </cell>
          <cell r="F1348" t="str">
            <v>Xây dựng công nghiệp nặng và dân dụng</v>
          </cell>
          <cell r="G1348" t="str">
            <v>HOSE</v>
          </cell>
          <cell r="H1348">
            <v>27299990</v>
          </cell>
        </row>
        <row r="1349">
          <cell r="D1349" t="str">
            <v>TGP</v>
          </cell>
          <cell r="E1349" t="str">
            <v>CTCP Trường Phú</v>
          </cell>
          <cell r="F1349" t="str">
            <v>Viễn thông</v>
          </cell>
          <cell r="G1349" t="str">
            <v>UPCoM</v>
          </cell>
          <cell r="H1349">
            <v>10000000</v>
          </cell>
        </row>
        <row r="1350">
          <cell r="D1350" t="str">
            <v>TH1</v>
          </cell>
          <cell r="E1350" t="str">
            <v>CTCP Xuất nhập khẩu tổng hợp 1 Việt Nam</v>
          </cell>
          <cell r="F1350" t="str">
            <v>Bán buôn hàng tiêu dùng</v>
          </cell>
          <cell r="G1350" t="str">
            <v>UPCoM</v>
          </cell>
          <cell r="H1350">
            <v>13539267</v>
          </cell>
        </row>
        <row r="1351">
          <cell r="D1351" t="str">
            <v>THB</v>
          </cell>
          <cell r="E1351" t="str">
            <v>CTCP Bia Hà Nội - Thanh Hóa</v>
          </cell>
          <cell r="F1351" t="str">
            <v>Sản xuất đồ uống và thuốc lá</v>
          </cell>
          <cell r="G1351" t="str">
            <v>HNX</v>
          </cell>
          <cell r="H1351">
            <v>11424570</v>
          </cell>
        </row>
        <row r="1352">
          <cell r="D1352" t="str">
            <v>THD</v>
          </cell>
          <cell r="E1352" t="str">
            <v>CTCP Thaiholdings</v>
          </cell>
          <cell r="F1352" t="str">
            <v>Xây dựng công nghiệp nặng và dân dụng</v>
          </cell>
          <cell r="G1352" t="str">
            <v>HNX</v>
          </cell>
          <cell r="H1352">
            <v>350000000</v>
          </cell>
        </row>
        <row r="1353">
          <cell r="D1353" t="str">
            <v>THG</v>
          </cell>
          <cell r="E1353" t="str">
            <v>CTCP Đầu tư và Xây dựng Tiền Giang</v>
          </cell>
          <cell r="F1353" t="str">
            <v>Sản xuất sản phẩm khoáng chất phi kim</v>
          </cell>
          <cell r="G1353" t="str">
            <v>HOSE</v>
          </cell>
          <cell r="H1353">
            <v>15971306</v>
          </cell>
        </row>
        <row r="1354">
          <cell r="D1354" t="str">
            <v>THI</v>
          </cell>
          <cell r="E1354" t="str">
            <v>CTCP Thiết bị Điện</v>
          </cell>
          <cell r="F1354" t="str">
            <v>Sản xuất thiết bị, máy móc</v>
          </cell>
          <cell r="G1354" t="str">
            <v>HNX</v>
          </cell>
          <cell r="H1354">
            <v>48800000</v>
          </cell>
        </row>
        <row r="1355">
          <cell r="D1355" t="str">
            <v>THN</v>
          </cell>
          <cell r="E1355" t="str">
            <v>CTCP Cấp nước Thanh Hóa</v>
          </cell>
          <cell r="F1355" t="str">
            <v>Nước, chất thải và các hệ thống khác</v>
          </cell>
          <cell r="G1355" t="str">
            <v>UPCoM</v>
          </cell>
          <cell r="H1355">
            <v>32995411</v>
          </cell>
        </row>
        <row r="1356">
          <cell r="D1356" t="str">
            <v>THP</v>
          </cell>
          <cell r="E1356" t="str">
            <v>CTCP Thủy sản và Thương mại Thuận Phước</v>
          </cell>
          <cell r="F1356" t="str">
            <v>Sản xuất thực phẩm</v>
          </cell>
          <cell r="G1356" t="str">
            <v>UPCoM</v>
          </cell>
          <cell r="H1356"/>
        </row>
        <row r="1357">
          <cell r="D1357" t="str">
            <v>THS</v>
          </cell>
          <cell r="E1357" t="str">
            <v>CTCP Thanh Hoa - Sông Đà</v>
          </cell>
          <cell r="F1357" t="str">
            <v>Bán buôn hàng lâu bền</v>
          </cell>
          <cell r="G1357" t="str">
            <v>HNX</v>
          </cell>
          <cell r="H1357">
            <v>3000000</v>
          </cell>
        </row>
        <row r="1358">
          <cell r="D1358" t="str">
            <v>THT</v>
          </cell>
          <cell r="E1358" t="str">
            <v>CTCP Than Hà Tu - Vinacomin</v>
          </cell>
          <cell r="F1358" t="str">
            <v>Khai khoáng (ngoại trừ dầu mỏ và khí đốt)</v>
          </cell>
          <cell r="G1358" t="str">
            <v>HNX</v>
          </cell>
          <cell r="H1358">
            <v>24569052</v>
          </cell>
        </row>
        <row r="1359">
          <cell r="D1359" t="str">
            <v>THU</v>
          </cell>
          <cell r="E1359" t="str">
            <v>CTCP Môi trường và Công trình Đô thị Thanh Hóa</v>
          </cell>
          <cell r="F1359" t="str">
            <v>Nước, chất thải và các hệ thống khác</v>
          </cell>
          <cell r="G1359" t="str">
            <v>UPCoM</v>
          </cell>
          <cell r="H1359">
            <v>3297790</v>
          </cell>
        </row>
        <row r="1360">
          <cell r="D1360" t="str">
            <v>THW</v>
          </cell>
          <cell r="E1360" t="str">
            <v>CTCP Cấp nước Tân Hòa</v>
          </cell>
          <cell r="F1360" t="str">
            <v>Nước, chất thải và các hệ thống khác</v>
          </cell>
          <cell r="G1360" t="str">
            <v>UPCoM</v>
          </cell>
          <cell r="H1360">
            <v>5000000</v>
          </cell>
        </row>
        <row r="1361">
          <cell r="D1361" t="str">
            <v>TID</v>
          </cell>
          <cell r="E1361" t="str">
            <v>CTCP Tổng Công ty Tín Nghĩa</v>
          </cell>
          <cell r="F1361" t="str">
            <v>Sản xuất thực phẩm</v>
          </cell>
          <cell r="G1361" t="str">
            <v>UPCoM</v>
          </cell>
          <cell r="H1361">
            <v>200000000</v>
          </cell>
        </row>
        <row r="1362">
          <cell r="D1362" t="str">
            <v>TIE</v>
          </cell>
          <cell r="E1362" t="str">
            <v>CTCP TIE</v>
          </cell>
          <cell r="F1362" t="str">
            <v>Bán buôn hàng lâu bền</v>
          </cell>
          <cell r="G1362" t="str">
            <v>UPCoM</v>
          </cell>
          <cell r="H1362">
            <v>9569900</v>
          </cell>
        </row>
        <row r="1363">
          <cell r="D1363" t="str">
            <v>TIG</v>
          </cell>
          <cell r="E1363" t="str">
            <v>CTCP Tập đoàn Đầu tư Thăng Long</v>
          </cell>
          <cell r="F1363" t="str">
            <v>Bất động sản</v>
          </cell>
          <cell r="G1363" t="str">
            <v>HNX</v>
          </cell>
          <cell r="H1363">
            <v>90915304</v>
          </cell>
        </row>
        <row r="1364">
          <cell r="D1364" t="str">
            <v>TIP</v>
          </cell>
          <cell r="E1364" t="str">
            <v>CTCP Phát triển Khu Công nghiệp Tín Nghĩa</v>
          </cell>
          <cell r="F1364" t="str">
            <v>Bất động sản</v>
          </cell>
          <cell r="G1364" t="str">
            <v>HOSE</v>
          </cell>
          <cell r="H1364">
            <v>26003143</v>
          </cell>
        </row>
        <row r="1365">
          <cell r="D1365" t="str">
            <v>TIS</v>
          </cell>
          <cell r="E1365" t="str">
            <v>CTCP Gang thép Thái Nguyên</v>
          </cell>
          <cell r="F1365" t="str">
            <v>Sản xuất các sản phẩm kim loại cơ bản</v>
          </cell>
          <cell r="G1365" t="str">
            <v>UPCoM</v>
          </cell>
          <cell r="H1365">
            <v>184000000</v>
          </cell>
        </row>
        <row r="1366">
          <cell r="D1366" t="str">
            <v>TIX</v>
          </cell>
          <cell r="E1366" t="str">
            <v>CTCP Sản xuất Kinh doanh Xuất nhập khẩu Dịch vụ và Đầu tư Tân Bình</v>
          </cell>
          <cell r="F1366" t="str">
            <v>Bất động sản</v>
          </cell>
          <cell r="G1366" t="str">
            <v>HOSE</v>
          </cell>
          <cell r="H1366">
            <v>30000000</v>
          </cell>
        </row>
        <row r="1367">
          <cell r="D1367" t="str">
            <v>TJC</v>
          </cell>
          <cell r="E1367" t="str">
            <v>CTCP Dịch vụ Vận tải và Thương mại</v>
          </cell>
          <cell r="F1367" t="str">
            <v>Vận tải đường thủy</v>
          </cell>
          <cell r="G1367" t="str">
            <v>HNX</v>
          </cell>
          <cell r="H1367">
            <v>8600000</v>
          </cell>
        </row>
        <row r="1368">
          <cell r="D1368" t="str">
            <v>TKA</v>
          </cell>
          <cell r="E1368" t="str">
            <v>CTCP Bao bì Tân Khánh An</v>
          </cell>
          <cell r="F1368" t="str">
            <v>Sản xuất các sản phẩm nhựa và cao su</v>
          </cell>
          <cell r="G1368" t="str">
            <v>UPCoM</v>
          </cell>
          <cell r="H1368">
            <v>3800000</v>
          </cell>
        </row>
        <row r="1369">
          <cell r="D1369" t="str">
            <v>TKC</v>
          </cell>
          <cell r="E1369" t="str">
            <v>CTCP Xây dựng và Kinh doanh Địa ốc Tân Kỷ</v>
          </cell>
          <cell r="F1369" t="str">
            <v>Xây dựng nhà cửa, cao ốc</v>
          </cell>
          <cell r="G1369" t="str">
            <v>HNX</v>
          </cell>
          <cell r="H1369">
            <v>11382232</v>
          </cell>
        </row>
        <row r="1370">
          <cell r="D1370" t="str">
            <v>TKG</v>
          </cell>
          <cell r="E1370" t="str">
            <v>CTCP Sản xuất và Thương mại Tùng Khánh</v>
          </cell>
          <cell r="F1370" t="str">
            <v>Sản xuất khác</v>
          </cell>
          <cell r="G1370" t="str">
            <v>UPCoM</v>
          </cell>
          <cell r="H1370">
            <v>4630000</v>
          </cell>
        </row>
        <row r="1371">
          <cell r="D1371" t="str">
            <v>TKU</v>
          </cell>
          <cell r="E1371" t="str">
            <v>CTCP Công nghiệp Tung Kuang</v>
          </cell>
          <cell r="F1371" t="str">
            <v>Sản xuất các sản phẩm kim loại cơ bản</v>
          </cell>
          <cell r="G1371" t="str">
            <v>HNX</v>
          </cell>
          <cell r="H1371">
            <v>4997562</v>
          </cell>
        </row>
        <row r="1372">
          <cell r="D1372" t="str">
            <v>TL4</v>
          </cell>
          <cell r="E1372" t="str">
            <v>Tổng Công ty cổ phần Xây dựng Thủy Lợi 4</v>
          </cell>
          <cell r="F1372" t="str">
            <v>Xây dựng nhà cửa, cao ốc</v>
          </cell>
          <cell r="G1372" t="str">
            <v>UPCoM</v>
          </cell>
          <cell r="H1372">
            <v>16008338</v>
          </cell>
        </row>
        <row r="1373">
          <cell r="D1373" t="str">
            <v>TLD</v>
          </cell>
          <cell r="E1373" t="str">
            <v>CTCP Đầu tư Xây dựng và Phát triển Đô thị Thăng Long</v>
          </cell>
          <cell r="F1373" t="str">
            <v>Sản xuất các sản phẩm gỗ</v>
          </cell>
          <cell r="G1373" t="str">
            <v>HOSE</v>
          </cell>
          <cell r="H1373">
            <v>39956372</v>
          </cell>
        </row>
        <row r="1374">
          <cell r="D1374" t="str">
            <v>TLG</v>
          </cell>
          <cell r="E1374" t="str">
            <v>CTCP Tập đoàn Thiên Long</v>
          </cell>
          <cell r="F1374" t="str">
            <v>Sản xuất khác</v>
          </cell>
          <cell r="G1374" t="str">
            <v>HOSE</v>
          </cell>
          <cell r="H1374">
            <v>77794453</v>
          </cell>
        </row>
        <row r="1375">
          <cell r="D1375" t="str">
            <v>TLH</v>
          </cell>
          <cell r="E1375" t="str">
            <v>CTCP Tập đoàn Thép Tiến Lên</v>
          </cell>
          <cell r="F1375" t="str">
            <v>Bán buôn hàng lâu bền</v>
          </cell>
          <cell r="G1375" t="str">
            <v>HOSE</v>
          </cell>
          <cell r="H1375">
            <v>102110621</v>
          </cell>
        </row>
        <row r="1376">
          <cell r="D1376" t="str">
            <v>TLI</v>
          </cell>
          <cell r="E1376" t="str">
            <v>CTCP May Quốc tế Thắng Lợi</v>
          </cell>
          <cell r="F1376" t="str">
            <v>Sản xuất các sản phẩm may mặc</v>
          </cell>
          <cell r="G1376" t="str">
            <v>UPCoM</v>
          </cell>
          <cell r="H1376">
            <v>3000000</v>
          </cell>
        </row>
        <row r="1377">
          <cell r="D1377" t="str">
            <v>TLP</v>
          </cell>
          <cell r="E1377" t="str">
            <v>Tổng Công ty Thương mại Xuất nhập khẩu Thanh Lễ - CTCP</v>
          </cell>
          <cell r="F1377" t="str">
            <v>Trạm xăng</v>
          </cell>
          <cell r="G1377" t="str">
            <v>UPCoM</v>
          </cell>
          <cell r="H1377">
            <v>236600000</v>
          </cell>
        </row>
        <row r="1378">
          <cell r="D1378" t="str">
            <v>TLT</v>
          </cell>
          <cell r="E1378" t="str">
            <v>CTCP Viglacera Thăng Long</v>
          </cell>
          <cell r="F1378" t="str">
            <v>Sản xuất sản phẩm khoáng chất phi kim</v>
          </cell>
          <cell r="G1378" t="str">
            <v>UPCoM</v>
          </cell>
          <cell r="H1378">
            <v>6989800</v>
          </cell>
        </row>
        <row r="1379">
          <cell r="D1379" t="str">
            <v>TMB</v>
          </cell>
          <cell r="E1379" t="str">
            <v>CTCP Kinh doanh Than Miền Bắc - Vinacomin</v>
          </cell>
          <cell r="F1379" t="str">
            <v>Khai khoáng (ngoại trừ dầu mỏ và khí đốt)</v>
          </cell>
          <cell r="G1379" t="str">
            <v>HNX</v>
          </cell>
          <cell r="H1379">
            <v>15000000</v>
          </cell>
        </row>
        <row r="1380">
          <cell r="D1380" t="str">
            <v>TMC</v>
          </cell>
          <cell r="E1380" t="str">
            <v>CTCP Thương mại Xuất nhập khẩu Thủ Đức</v>
          </cell>
          <cell r="F1380" t="str">
            <v>Trạm xăng</v>
          </cell>
          <cell r="G1380" t="str">
            <v>HNX</v>
          </cell>
          <cell r="H1380">
            <v>12400000</v>
          </cell>
        </row>
        <row r="1381">
          <cell r="D1381" t="str">
            <v>TMG</v>
          </cell>
          <cell r="E1381" t="str">
            <v>CTCP Kim loại màu Thái Nguyên - Vimico</v>
          </cell>
          <cell r="F1381" t="str">
            <v>Khai khoáng (ngoại trừ dầu mỏ và khí đốt)</v>
          </cell>
          <cell r="G1381" t="str">
            <v>UPCoM</v>
          </cell>
          <cell r="H1381">
            <v>18000000</v>
          </cell>
        </row>
        <row r="1382">
          <cell r="D1382" t="str">
            <v>TMP</v>
          </cell>
          <cell r="E1382" t="str">
            <v>CTCP Thủy điện Thác Mơ</v>
          </cell>
          <cell r="F1382" t="str">
            <v>Phát, truyền tải và phân phối điện năng</v>
          </cell>
          <cell r="G1382" t="str">
            <v>HOSE</v>
          </cell>
          <cell r="H1382">
            <v>70000000</v>
          </cell>
        </row>
        <row r="1383">
          <cell r="D1383" t="str">
            <v>TMS</v>
          </cell>
          <cell r="E1383" t="str">
            <v>CTCP Transimex</v>
          </cell>
          <cell r="F1383" t="str">
            <v>Hỗ trợ vận tải</v>
          </cell>
          <cell r="G1383" t="str">
            <v>HOSE</v>
          </cell>
          <cell r="H1383">
            <v>81442935</v>
          </cell>
        </row>
        <row r="1384">
          <cell r="D1384" t="str">
            <v>TMT</v>
          </cell>
          <cell r="E1384" t="str">
            <v>CTCP Ô tô TMT</v>
          </cell>
          <cell r="F1384" t="str">
            <v>Sản xuất phương tiện vận tải</v>
          </cell>
          <cell r="G1384" t="str">
            <v>HOSE</v>
          </cell>
          <cell r="H1384">
            <v>37287680</v>
          </cell>
        </row>
        <row r="1385">
          <cell r="D1385" t="str">
            <v>TMW</v>
          </cell>
          <cell r="E1385" t="str">
            <v>CTCP Tổng hợp Gỗ Tân Mai</v>
          </cell>
          <cell r="F1385" t="str">
            <v>Sản xuất các sản phẩm gỗ</v>
          </cell>
          <cell r="G1385" t="str">
            <v>UPCoM</v>
          </cell>
          <cell r="H1385">
            <v>4662350</v>
          </cell>
        </row>
        <row r="1386">
          <cell r="D1386" t="str">
            <v>TMX</v>
          </cell>
          <cell r="E1386" t="str">
            <v>CTCP VICEM Thương mại Xi măng</v>
          </cell>
          <cell r="F1386" t="str">
            <v>Kinh doanh vật liệu xây dựng, trang thiết bị làm vườn</v>
          </cell>
          <cell r="G1386" t="str">
            <v>HNX</v>
          </cell>
          <cell r="H1386">
            <v>6000000</v>
          </cell>
        </row>
        <row r="1387">
          <cell r="D1387" t="str">
            <v>TN1</v>
          </cell>
          <cell r="E1387" t="str">
            <v>CTCP Thương mại Dịch vụ TNS Holdings</v>
          </cell>
          <cell r="F1387" t="str">
            <v>Bất động sản</v>
          </cell>
          <cell r="G1387" t="str">
            <v>HOSE</v>
          </cell>
          <cell r="H1387">
            <v>23335809</v>
          </cell>
        </row>
        <row r="1388">
          <cell r="D1388" t="str">
            <v>TNA</v>
          </cell>
          <cell r="E1388" t="str">
            <v>CTCP Thương mại Xuất nhập khẩu Thiên Nam</v>
          </cell>
          <cell r="F1388" t="str">
            <v>Bán buôn hàng lâu bền</v>
          </cell>
          <cell r="G1388" t="str">
            <v>HOSE</v>
          </cell>
          <cell r="H1388">
            <v>39730884</v>
          </cell>
        </row>
        <row r="1389">
          <cell r="D1389" t="str">
            <v>TNB</v>
          </cell>
          <cell r="E1389" t="str">
            <v>CTCP Thép Nhà Bè - VNSTEEL</v>
          </cell>
          <cell r="F1389" t="str">
            <v>Sản xuất các sản phẩm kim loại cơ bản</v>
          </cell>
          <cell r="G1389" t="str">
            <v>UPCoM</v>
          </cell>
          <cell r="H1389">
            <v>11500000</v>
          </cell>
        </row>
        <row r="1390">
          <cell r="D1390" t="str">
            <v>TNC</v>
          </cell>
          <cell r="E1390" t="str">
            <v>CTCP Cao su Thống Nhất</v>
          </cell>
          <cell r="F1390" t="str">
            <v>Sản xuất hóa chất, dược phẩm</v>
          </cell>
          <cell r="G1390" t="str">
            <v>HOSE</v>
          </cell>
          <cell r="H1390">
            <v>19250000</v>
          </cell>
        </row>
        <row r="1391">
          <cell r="D1391" t="str">
            <v>TNG</v>
          </cell>
          <cell r="E1391" t="str">
            <v>CTCP Đầu tư và Thương mại TNG</v>
          </cell>
          <cell r="F1391" t="str">
            <v>Sản xuất các sản phẩm may mặc</v>
          </cell>
          <cell r="G1391" t="str">
            <v>HNX</v>
          </cell>
          <cell r="H1391">
            <v>73996005</v>
          </cell>
        </row>
        <row r="1392">
          <cell r="D1392" t="str">
            <v>TNH</v>
          </cell>
          <cell r="E1392" t="str">
            <v>CTCP Bệnh viện Quốc tế Thái Nguyên</v>
          </cell>
          <cell r="F1392" t="str">
            <v>Dịch vụ chăm sóc sức khỏe ngoại trú</v>
          </cell>
          <cell r="G1392" t="str">
            <v>HOSE</v>
          </cell>
          <cell r="H1392">
            <v>41500000</v>
          </cell>
        </row>
        <row r="1393">
          <cell r="D1393" t="str">
            <v>TNI</v>
          </cell>
          <cell r="E1393" t="str">
            <v>CTCP Tập đoàn Thành Nam</v>
          </cell>
          <cell r="F1393" t="str">
            <v>Bán buôn hàng lâu bền</v>
          </cell>
          <cell r="G1393" t="str">
            <v>HOSE</v>
          </cell>
          <cell r="H1393">
            <v>52500000</v>
          </cell>
        </row>
        <row r="1394">
          <cell r="D1394" t="str">
            <v>TNM</v>
          </cell>
          <cell r="E1394" t="str">
            <v>CTCP Xuất nhập khẩu và Xây dựng Công trình</v>
          </cell>
          <cell r="F1394" t="str">
            <v>Xây dựng công nghiệp nặng và dân dụng</v>
          </cell>
          <cell r="G1394" t="str">
            <v>UPCoM</v>
          </cell>
          <cell r="H1394">
            <v>5800000</v>
          </cell>
        </row>
        <row r="1395">
          <cell r="D1395" t="str">
            <v>TNP</v>
          </cell>
          <cell r="E1395" t="str">
            <v>CTCP Cảng Thị Nại</v>
          </cell>
          <cell r="F1395" t="str">
            <v>Hỗ trợ vận tải</v>
          </cell>
          <cell r="G1395" t="str">
            <v>UPCoM</v>
          </cell>
          <cell r="H1395">
            <v>7100000</v>
          </cell>
        </row>
        <row r="1396">
          <cell r="D1396" t="str">
            <v>TNS</v>
          </cell>
          <cell r="E1396" t="str">
            <v>CTCP Thép tấm lá Thống Nhất</v>
          </cell>
          <cell r="F1396" t="str">
            <v>Sản xuất các sản phẩm kim loại cơ bản</v>
          </cell>
          <cell r="G1396" t="str">
            <v>UPCoM</v>
          </cell>
          <cell r="H1396">
            <v>20000000</v>
          </cell>
        </row>
        <row r="1397">
          <cell r="D1397" t="str">
            <v>TNT</v>
          </cell>
          <cell r="E1397" t="str">
            <v>CTCP Tập đoàn TNT</v>
          </cell>
          <cell r="F1397" t="str">
            <v>Khai khoáng (ngoại trừ dầu mỏ và khí đốt)</v>
          </cell>
          <cell r="G1397" t="str">
            <v>HOSE</v>
          </cell>
          <cell r="H1397">
            <v>25500000</v>
          </cell>
        </row>
        <row r="1398">
          <cell r="D1398" t="str">
            <v>TNW</v>
          </cell>
          <cell r="E1398" t="str">
            <v>CTCP Nước sạch Thái Nguyên</v>
          </cell>
          <cell r="F1398" t="str">
            <v>Nước, chất thải và các hệ thống khác</v>
          </cell>
          <cell r="G1398" t="str">
            <v>UPCoM</v>
          </cell>
          <cell r="H1398">
            <v>16000000</v>
          </cell>
        </row>
        <row r="1399">
          <cell r="D1399" t="str">
            <v>TOP</v>
          </cell>
          <cell r="E1399" t="str">
            <v>CTCP Phân phối Top One</v>
          </cell>
          <cell r="F1399" t="str">
            <v>Bán buôn hàng tiêu dùng</v>
          </cell>
          <cell r="G1399" t="str">
            <v>UPCoM</v>
          </cell>
          <cell r="H1399">
            <v>25350000</v>
          </cell>
        </row>
        <row r="1400">
          <cell r="D1400" t="str">
            <v>TOT</v>
          </cell>
          <cell r="E1400" t="str">
            <v>CTCP Vận tải Transimex</v>
          </cell>
          <cell r="F1400" t="str">
            <v>Hỗ trợ vận tải</v>
          </cell>
          <cell r="G1400" t="str">
            <v>UPCoM</v>
          </cell>
          <cell r="H1400">
            <v>5495000</v>
          </cell>
        </row>
        <row r="1401">
          <cell r="D1401" t="str">
            <v>TOW</v>
          </cell>
          <cell r="E1401" t="str">
            <v>CTCP Cấp nước Trà Nóc - Ô Môn</v>
          </cell>
          <cell r="F1401" t="str">
            <v>Nước, chất thải và các hệ thống khác</v>
          </cell>
          <cell r="G1401" t="str">
            <v>UPCoM</v>
          </cell>
          <cell r="H1401">
            <v>7978150</v>
          </cell>
        </row>
        <row r="1402">
          <cell r="D1402" t="str">
            <v>TPB</v>
          </cell>
          <cell r="E1402" t="str">
            <v>Ngân hàng TMCP Tiên Phong</v>
          </cell>
          <cell r="F1402" t="str">
            <v>Trung gian tín dụng và các hoạt động liên quan</v>
          </cell>
          <cell r="G1402" t="str">
            <v>HOSE</v>
          </cell>
          <cell r="H1402">
            <v>1071671722</v>
          </cell>
        </row>
        <row r="1403">
          <cell r="D1403" t="str">
            <v>TPC</v>
          </cell>
          <cell r="E1403" t="str">
            <v>CTCP Nhựa Tân Đại Hưng</v>
          </cell>
          <cell r="F1403" t="str">
            <v>Sản xuất các sản phẩm nhựa và cao su</v>
          </cell>
          <cell r="G1403" t="str">
            <v>HOSE</v>
          </cell>
          <cell r="H1403">
            <v>24430596</v>
          </cell>
        </row>
        <row r="1404">
          <cell r="D1404" t="str">
            <v>TPH</v>
          </cell>
          <cell r="E1404" t="str">
            <v>CTCP In sách giáo khoa tại Thành phố Hà Nội</v>
          </cell>
          <cell r="F1404" t="str">
            <v>Công nghiệp xuất bản - Ngoại trừ internet</v>
          </cell>
          <cell r="G1404" t="str">
            <v>HNX</v>
          </cell>
          <cell r="H1404">
            <v>2095985</v>
          </cell>
        </row>
        <row r="1405">
          <cell r="D1405" t="str">
            <v>TPP</v>
          </cell>
          <cell r="E1405" t="str">
            <v>CTCP Tân Phú Việt Nam</v>
          </cell>
          <cell r="F1405" t="str">
            <v>Sản xuất các sản phẩm nhựa và cao su</v>
          </cell>
          <cell r="G1405" t="str">
            <v>HNX</v>
          </cell>
          <cell r="H1405">
            <v>20000000</v>
          </cell>
        </row>
        <row r="1406">
          <cell r="D1406" t="str">
            <v>TPS</v>
          </cell>
          <cell r="E1406" t="str">
            <v>CTCP Bến Bãi Vận tải Sài Gòn</v>
          </cell>
          <cell r="F1406" t="str">
            <v>Hỗ trợ vận tải</v>
          </cell>
          <cell r="G1406" t="str">
            <v>UPCoM</v>
          </cell>
          <cell r="H1406"/>
        </row>
        <row r="1407">
          <cell r="D1407" t="str">
            <v>TQN</v>
          </cell>
          <cell r="E1407" t="str">
            <v>CTCP Thông Quảng Ninh</v>
          </cell>
          <cell r="F1407" t="str">
            <v>Sản xuất các sản phẩm gỗ</v>
          </cell>
          <cell r="G1407" t="str">
            <v>UPCoM</v>
          </cell>
          <cell r="H1407">
            <v>3600000</v>
          </cell>
        </row>
        <row r="1408">
          <cell r="D1408" t="str">
            <v>TQW</v>
          </cell>
          <cell r="E1408" t="str">
            <v>CTCP Cấp thoát nước Tuyên Quang</v>
          </cell>
          <cell r="F1408" t="str">
            <v>Nước, chất thải và các hệ thống khác</v>
          </cell>
          <cell r="G1408" t="str">
            <v>UPCoM</v>
          </cell>
          <cell r="H1408">
            <v>8933200</v>
          </cell>
        </row>
        <row r="1409">
          <cell r="D1409" t="str">
            <v>TR1</v>
          </cell>
          <cell r="E1409" t="str">
            <v>CTCP Vận tải 1 Traco</v>
          </cell>
          <cell r="F1409" t="str">
            <v>Hỗ trợ vận tải</v>
          </cell>
          <cell r="G1409" t="str">
            <v>UPCoM</v>
          </cell>
          <cell r="H1409">
            <v>4592490</v>
          </cell>
        </row>
        <row r="1410">
          <cell r="D1410" t="str">
            <v>TRA</v>
          </cell>
          <cell r="E1410" t="str">
            <v>CTCP Traphaco</v>
          </cell>
          <cell r="F1410" t="str">
            <v>Sản xuất hóa chất, dược phẩm</v>
          </cell>
          <cell r="G1410" t="str">
            <v>HOSE</v>
          </cell>
          <cell r="H1410">
            <v>41453673</v>
          </cell>
        </row>
        <row r="1411">
          <cell r="D1411" t="str">
            <v>TRC</v>
          </cell>
          <cell r="E1411" t="str">
            <v>CTCP Cao su Tây Ninh</v>
          </cell>
          <cell r="F1411" t="str">
            <v>Sản xuất hóa chất, dược phẩm</v>
          </cell>
          <cell r="G1411" t="str">
            <v>HOSE</v>
          </cell>
          <cell r="H1411">
            <v>30000000</v>
          </cell>
        </row>
        <row r="1412">
          <cell r="D1412" t="str">
            <v>TRS</v>
          </cell>
          <cell r="E1412" t="str">
            <v>CTCP Vận tải và Dịch vụ Hàng hải</v>
          </cell>
          <cell r="F1412" t="str">
            <v>Vận tải đường thủy</v>
          </cell>
          <cell r="G1412" t="str">
            <v>UPCoM</v>
          </cell>
          <cell r="H1412">
            <v>3956769</v>
          </cell>
        </row>
        <row r="1413">
          <cell r="D1413" t="str">
            <v>TRT</v>
          </cell>
          <cell r="E1413" t="str">
            <v>CTCP RedstarCera</v>
          </cell>
          <cell r="F1413" t="str">
            <v>Sản xuất sản phẩm khoáng chất phi kim</v>
          </cell>
          <cell r="G1413" t="str">
            <v>UPCoM</v>
          </cell>
          <cell r="H1413">
            <v>11000000</v>
          </cell>
        </row>
        <row r="1414">
          <cell r="D1414" t="str">
            <v>TS3</v>
          </cell>
          <cell r="E1414" t="str">
            <v>CTCP Trường Sơn 532</v>
          </cell>
          <cell r="F1414" t="str">
            <v>Xây dựng nhà cửa, cao ốc</v>
          </cell>
          <cell r="G1414" t="str">
            <v>UPCoM</v>
          </cell>
          <cell r="H1414">
            <v>3851880</v>
          </cell>
        </row>
        <row r="1415">
          <cell r="D1415" t="str">
            <v>TS4</v>
          </cell>
          <cell r="E1415" t="str">
            <v>CTCP Thủy sản Số 4</v>
          </cell>
          <cell r="F1415" t="str">
            <v>Sản xuất thực phẩm</v>
          </cell>
          <cell r="G1415" t="str">
            <v>HOSE</v>
          </cell>
          <cell r="H1415">
            <v>16160646</v>
          </cell>
        </row>
        <row r="1416">
          <cell r="D1416" t="str">
            <v>TS5</v>
          </cell>
          <cell r="E1416" t="str">
            <v>CTCP Trường Sơn 145</v>
          </cell>
          <cell r="F1416" t="str">
            <v>Xây dựng công nghiệp nặng và dân dụng</v>
          </cell>
          <cell r="G1416" t="str">
            <v>UPCoM</v>
          </cell>
          <cell r="H1416">
            <v>314122</v>
          </cell>
        </row>
        <row r="1417">
          <cell r="D1417" t="str">
            <v>TSB</v>
          </cell>
          <cell r="E1417" t="str">
            <v>CTCP Ắc quy Tia Sáng</v>
          </cell>
          <cell r="F1417" t="str">
            <v>Sản xuất trang thiết bị, dụng cụ điện</v>
          </cell>
          <cell r="G1417" t="str">
            <v>HNX</v>
          </cell>
          <cell r="H1417">
            <v>6745480</v>
          </cell>
        </row>
        <row r="1418">
          <cell r="D1418" t="str">
            <v>TSC</v>
          </cell>
          <cell r="E1418" t="str">
            <v>CTCP Vật tư Kỹ thuật nông nghiệp Cần Thơ</v>
          </cell>
          <cell r="F1418" t="str">
            <v>Bán buôn hàng tiêu dùng</v>
          </cell>
          <cell r="G1418" t="str">
            <v>HOSE</v>
          </cell>
          <cell r="H1418">
            <v>147648084</v>
          </cell>
        </row>
        <row r="1419">
          <cell r="D1419" t="str">
            <v>TSD</v>
          </cell>
          <cell r="E1419" t="str">
            <v>CTCP Du lịch Trường Sơn COECCO</v>
          </cell>
          <cell r="F1419" t="str">
            <v>Dịch vụ hành chính và hỗ trợ</v>
          </cell>
          <cell r="G1419" t="str">
            <v>UPCoM</v>
          </cell>
          <cell r="H1419">
            <v>1300000</v>
          </cell>
        </row>
        <row r="1420">
          <cell r="D1420" t="str">
            <v>TSG</v>
          </cell>
          <cell r="E1420" t="str">
            <v>CTCP Thông tin Tín hiệu Đường sắt Sài Gòn</v>
          </cell>
          <cell r="F1420" t="str">
            <v>Hỗ trợ vận tải</v>
          </cell>
          <cell r="G1420" t="str">
            <v>UPCoM</v>
          </cell>
          <cell r="H1420">
            <v>3074100</v>
          </cell>
        </row>
        <row r="1421">
          <cell r="D1421" t="str">
            <v>TSJ</v>
          </cell>
          <cell r="E1421" t="str">
            <v>CTCP Du lịch Dịch vụ Hà Nội</v>
          </cell>
          <cell r="F1421" t="str">
            <v>Vận chuyển du lịch</v>
          </cell>
          <cell r="G1421" t="str">
            <v>UPCoM</v>
          </cell>
          <cell r="H1421">
            <v>74800000</v>
          </cell>
        </row>
        <row r="1422">
          <cell r="D1422" t="str">
            <v>TST</v>
          </cell>
          <cell r="E1422" t="str">
            <v>CTCP Dịch vụ Kỹ Thuật Viễn thông</v>
          </cell>
          <cell r="F1422" t="str">
            <v>Nhà thầu chuyên môn</v>
          </cell>
          <cell r="G1422" t="str">
            <v>HNX</v>
          </cell>
          <cell r="H1422">
            <v>4800000</v>
          </cell>
        </row>
        <row r="1423">
          <cell r="D1423" t="str">
            <v>TTA</v>
          </cell>
          <cell r="E1423" t="str">
            <v>CTCP Đầu tư Xây dựng và Phát triển Trường Thành</v>
          </cell>
          <cell r="F1423" t="str">
            <v>Phát, truyền tải và phân phối điện năng</v>
          </cell>
          <cell r="G1423" t="str">
            <v>HOSE</v>
          </cell>
          <cell r="H1423">
            <v>135000000</v>
          </cell>
        </row>
        <row r="1424">
          <cell r="D1424" t="str">
            <v>TTB</v>
          </cell>
          <cell r="E1424" t="str">
            <v>CTCP Tập đoàn Tiến Bộ</v>
          </cell>
          <cell r="F1424" t="str">
            <v>Bán buôn hàng lâu bền</v>
          </cell>
          <cell r="G1424" t="str">
            <v>HOSE</v>
          </cell>
          <cell r="H1424">
            <v>51509583</v>
          </cell>
        </row>
        <row r="1425">
          <cell r="D1425" t="str">
            <v>TTC</v>
          </cell>
          <cell r="E1425" t="str">
            <v>CTCP Gạch men Thanh Thanh</v>
          </cell>
          <cell r="F1425" t="str">
            <v>Sản xuất sản phẩm khoáng chất phi kim</v>
          </cell>
          <cell r="G1425" t="str">
            <v>HNX</v>
          </cell>
          <cell r="H1425">
            <v>5992348</v>
          </cell>
        </row>
        <row r="1426">
          <cell r="D1426" t="str">
            <v>TTD</v>
          </cell>
          <cell r="E1426" t="str">
            <v>CTCP Bệnh viện tim Tâm Đức</v>
          </cell>
          <cell r="F1426" t="str">
            <v>Dịch vụ chăm sóc sức khỏe ngoại trú</v>
          </cell>
          <cell r="G1426" t="str">
            <v>UPCoM</v>
          </cell>
          <cell r="H1426">
            <v>15552000</v>
          </cell>
        </row>
        <row r="1427">
          <cell r="D1427" t="str">
            <v>TTE</v>
          </cell>
          <cell r="E1427" t="str">
            <v>CTCP Đầu tư Năng lượng Trường Thịnh</v>
          </cell>
          <cell r="F1427" t="str">
            <v>Phát, truyền tải và phân phối điện năng</v>
          </cell>
          <cell r="G1427" t="str">
            <v>HOSE</v>
          </cell>
          <cell r="H1427">
            <v>28490400</v>
          </cell>
        </row>
        <row r="1428">
          <cell r="D1428" t="str">
            <v>TTF</v>
          </cell>
          <cell r="E1428" t="str">
            <v>CTCP Tập đoàn Kỹ nghệ gỗ Trường Thành</v>
          </cell>
          <cell r="F1428" t="str">
            <v>Sản xuất trang thiết bị nội thất và sản phẩm liên quan</v>
          </cell>
          <cell r="G1428" t="str">
            <v>HOSE</v>
          </cell>
          <cell r="H1428">
            <v>311198302</v>
          </cell>
        </row>
        <row r="1429">
          <cell r="D1429" t="str">
            <v>TTG</v>
          </cell>
          <cell r="E1429" t="str">
            <v>CTCP May Thanh Trì</v>
          </cell>
          <cell r="F1429" t="str">
            <v>Sản xuất các sản phẩm may mặc</v>
          </cell>
          <cell r="G1429" t="str">
            <v>UPCoM</v>
          </cell>
          <cell r="H1429">
            <v>2000000</v>
          </cell>
        </row>
        <row r="1430">
          <cell r="D1430" t="str">
            <v>TTH</v>
          </cell>
          <cell r="E1430" t="str">
            <v>CTCP Thương mại và Dịch vụ Tiến Thành</v>
          </cell>
          <cell r="F1430" t="str">
            <v>Bán buôn hàng lâu bền</v>
          </cell>
          <cell r="G1430" t="str">
            <v>HNX</v>
          </cell>
          <cell r="H1430">
            <v>37374846</v>
          </cell>
        </row>
        <row r="1431">
          <cell r="D1431" t="str">
            <v>TTL</v>
          </cell>
          <cell r="E1431" t="str">
            <v>Tổng Công ty Thăng Long - CTCP</v>
          </cell>
          <cell r="F1431" t="str">
            <v>Xây dựng công nghiệp nặng và dân dụng</v>
          </cell>
          <cell r="G1431" t="str">
            <v>HNX</v>
          </cell>
          <cell r="H1431">
            <v>41908000</v>
          </cell>
        </row>
        <row r="1432">
          <cell r="D1432" t="str">
            <v>TTN</v>
          </cell>
          <cell r="E1432" t="str">
            <v>CTCP Công nghệ và Truyền thông Việt Nam</v>
          </cell>
          <cell r="F1432" t="str">
            <v>Viễn thông</v>
          </cell>
          <cell r="G1432" t="str">
            <v>UPCoM</v>
          </cell>
          <cell r="H1432">
            <v>24485000</v>
          </cell>
        </row>
        <row r="1433">
          <cell r="D1433" t="str">
            <v>TTP</v>
          </cell>
          <cell r="E1433" t="str">
            <v>CTCP Bao bì nhựa Tân Tiến</v>
          </cell>
          <cell r="F1433" t="str">
            <v>Sản xuất các sản phẩm nhựa và cao su</v>
          </cell>
          <cell r="G1433" t="str">
            <v>UPCoM</v>
          </cell>
          <cell r="H1433">
            <v>14999998</v>
          </cell>
        </row>
        <row r="1434">
          <cell r="D1434" t="str">
            <v>TTS</v>
          </cell>
          <cell r="E1434" t="str">
            <v>CTCP Cán Thép Thái Trung</v>
          </cell>
          <cell r="F1434" t="str">
            <v>Sản xuất các sản phẩm kim loại cơ bản</v>
          </cell>
          <cell r="G1434" t="str">
            <v>UPCoM</v>
          </cell>
          <cell r="H1434">
            <v>50800000</v>
          </cell>
        </row>
        <row r="1435">
          <cell r="D1435" t="str">
            <v>TTT</v>
          </cell>
          <cell r="E1435" t="str">
            <v>CTCP Du lịch - Thương mại Tây Ninh</v>
          </cell>
          <cell r="F1435" t="str">
            <v>Dịch vụ hành chính và hỗ trợ</v>
          </cell>
          <cell r="G1435" t="str">
            <v>HNX</v>
          </cell>
          <cell r="H1435">
            <v>4570210</v>
          </cell>
        </row>
        <row r="1436">
          <cell r="D1436" t="str">
            <v>TTZ</v>
          </cell>
          <cell r="E1436" t="str">
            <v>CTCP Đầu tư Xây dựng và Công nghệ Tiến Trung</v>
          </cell>
          <cell r="F1436" t="str">
            <v>Vận tải đường bộ</v>
          </cell>
          <cell r="G1436" t="str">
            <v>HNX</v>
          </cell>
          <cell r="H1436">
            <v>7570444</v>
          </cell>
        </row>
        <row r="1437">
          <cell r="D1437" t="str">
            <v>TUG</v>
          </cell>
          <cell r="E1437" t="str">
            <v>CTCP Lai Dắt và Vận tải Cảng Hải Phòng</v>
          </cell>
          <cell r="F1437" t="str">
            <v>Hỗ trợ vận tải</v>
          </cell>
          <cell r="G1437" t="str">
            <v>UPCoM</v>
          </cell>
          <cell r="H1437">
            <v>2700000</v>
          </cell>
        </row>
        <row r="1438">
          <cell r="D1438" t="str">
            <v>TV1</v>
          </cell>
          <cell r="E1438" t="str">
            <v>CTCP Tư vấn Xây dựng Điện 1</v>
          </cell>
          <cell r="F1438" t="str">
            <v>Kiến trúc, tư vấn xây dựng và dịch vụ liên quan</v>
          </cell>
          <cell r="G1438" t="str">
            <v>UPCoM</v>
          </cell>
          <cell r="H1438">
            <v>26691319</v>
          </cell>
        </row>
        <row r="1439">
          <cell r="D1439" t="str">
            <v>TV2</v>
          </cell>
          <cell r="E1439" t="str">
            <v>CTCP Tư vấn Xây dựng Điện 2</v>
          </cell>
          <cell r="F1439" t="str">
            <v>Kiến trúc, tư vấn xây dựng và dịch vụ liên quan</v>
          </cell>
          <cell r="G1439" t="str">
            <v>HOSE</v>
          </cell>
          <cell r="H1439">
            <v>36014952</v>
          </cell>
        </row>
        <row r="1440">
          <cell r="D1440" t="str">
            <v>TV3</v>
          </cell>
          <cell r="E1440" t="str">
            <v>CTCP Tư vấn Xây dựng Điện 3</v>
          </cell>
          <cell r="F1440" t="str">
            <v>Kiến trúc, tư vấn xây dựng và dịch vụ liên quan</v>
          </cell>
          <cell r="G1440" t="str">
            <v>HNX</v>
          </cell>
          <cell r="H1440">
            <v>8276080</v>
          </cell>
        </row>
        <row r="1441">
          <cell r="D1441" t="str">
            <v>TV4</v>
          </cell>
          <cell r="E1441" t="str">
            <v>CTCP Tư vấn Xây dựng Điện 4</v>
          </cell>
          <cell r="F1441" t="str">
            <v>Kiến trúc, tư vấn xây dựng và dịch vụ liên quan</v>
          </cell>
          <cell r="G1441" t="str">
            <v>HNX</v>
          </cell>
          <cell r="H1441">
            <v>15834745</v>
          </cell>
        </row>
        <row r="1442">
          <cell r="D1442" t="str">
            <v>TV6</v>
          </cell>
          <cell r="E1442" t="str">
            <v>CTCP Thương mại Đầu tư xây lắp điện Thịnh Vượng</v>
          </cell>
          <cell r="F1442" t="str">
            <v>Xây dựng công nghiệp nặng và dân dụng</v>
          </cell>
          <cell r="G1442" t="str">
            <v>UPCoM</v>
          </cell>
          <cell r="H1442">
            <v>3000000</v>
          </cell>
        </row>
        <row r="1443">
          <cell r="D1443" t="str">
            <v>TVA</v>
          </cell>
          <cell r="E1443" t="str">
            <v>CTCP Sứ Viglacera Thanh Trì</v>
          </cell>
          <cell r="F1443" t="str">
            <v>Bán buôn hàng lâu bền</v>
          </cell>
          <cell r="G1443" t="str">
            <v>UPCoM</v>
          </cell>
          <cell r="H1443">
            <v>6300000</v>
          </cell>
        </row>
        <row r="1444">
          <cell r="D1444" t="str">
            <v>TVB</v>
          </cell>
          <cell r="E1444" t="str">
            <v>CTCP Chứng khoán Trí Việt</v>
          </cell>
          <cell r="F1444" t="str">
            <v>Môi giới chứng khoán, hàng hóa, đầu tư tài chính khác và các hoạt động liên quan</v>
          </cell>
          <cell r="G1444" t="str">
            <v>HNX</v>
          </cell>
          <cell r="H1444">
            <v>71143872</v>
          </cell>
        </row>
        <row r="1445">
          <cell r="D1445" t="str">
            <v>TVC</v>
          </cell>
          <cell r="E1445" t="str">
            <v>CTCP Tập đoàn Quản lý Tài sản Trí Việt</v>
          </cell>
          <cell r="F1445" t="str">
            <v>Môi giới chứng khoán, hàng hóa, đầu tư tài chính khác và các hoạt động liên quan</v>
          </cell>
          <cell r="G1445" t="str">
            <v>HNX</v>
          </cell>
          <cell r="H1445">
            <v>69076280</v>
          </cell>
        </row>
        <row r="1446">
          <cell r="D1446" t="str">
            <v>TVD</v>
          </cell>
          <cell r="E1446" t="str">
            <v>CTCP Than Vàng Danh - Vinacomin</v>
          </cell>
          <cell r="F1446" t="str">
            <v>Khai khoáng (ngoại trừ dầu mỏ và khí đốt)</v>
          </cell>
          <cell r="G1446" t="str">
            <v>HNX</v>
          </cell>
          <cell r="H1446">
            <v>44962864</v>
          </cell>
        </row>
        <row r="1447">
          <cell r="D1447" t="str">
            <v>TVG</v>
          </cell>
          <cell r="E1447" t="str">
            <v>CTCP Tư vấn Đầu tư và Xây dựng Giao thông Vận tải</v>
          </cell>
          <cell r="F1447" t="str">
            <v>Kiến trúc, tư vấn xây dựng và dịch vụ liên quan</v>
          </cell>
          <cell r="G1447" t="str">
            <v>UPCoM</v>
          </cell>
          <cell r="H1447">
            <v>2029589</v>
          </cell>
        </row>
        <row r="1448">
          <cell r="D1448" t="str">
            <v>TVH</v>
          </cell>
          <cell r="E1448" t="str">
            <v>CTCP Tư vấn Xây dựng công trình Hàng hải</v>
          </cell>
          <cell r="F1448" t="str">
            <v>Kiến trúc, tư vấn xây dựng và dịch vụ liên quan</v>
          </cell>
          <cell r="G1448" t="str">
            <v>UPCoM</v>
          </cell>
          <cell r="H1448">
            <v>4004000</v>
          </cell>
        </row>
        <row r="1449">
          <cell r="D1449" t="str">
            <v>TVM</v>
          </cell>
          <cell r="E1449" t="str">
            <v>CTCP Tư vấn Đầu tư mỏ và Công Nghiệp - Vinacomin</v>
          </cell>
          <cell r="F1449" t="str">
            <v>Dịch vụ tư vấn quản lý, khoa học và kỹ thuật</v>
          </cell>
          <cell r="G1449" t="str">
            <v>UPCoM</v>
          </cell>
          <cell r="H1449">
            <v>2400000</v>
          </cell>
        </row>
        <row r="1450">
          <cell r="D1450" t="str">
            <v>TVN</v>
          </cell>
          <cell r="E1450" t="str">
            <v>Tổng Công ty Thép Việt Nam - CTCP</v>
          </cell>
          <cell r="F1450" t="str">
            <v>Sản xuất các sản phẩm kim loại cơ bản</v>
          </cell>
          <cell r="G1450" t="str">
            <v>UPCoM</v>
          </cell>
          <cell r="H1450">
            <v>678000000</v>
          </cell>
        </row>
        <row r="1451">
          <cell r="D1451" t="str">
            <v>TVP</v>
          </cell>
          <cell r="E1451" t="str">
            <v>CTCP Dược phẩm TV.Pharm</v>
          </cell>
          <cell r="F1451" t="str">
            <v>Sản xuất hóa chất, dược phẩm</v>
          </cell>
          <cell r="G1451" t="str">
            <v>UPCoM</v>
          </cell>
          <cell r="H1451">
            <v>11087936</v>
          </cell>
        </row>
        <row r="1452">
          <cell r="D1452" t="str">
            <v>TVS</v>
          </cell>
          <cell r="E1452" t="str">
            <v>CTCP Chứng khoán Thiên Việt</v>
          </cell>
          <cell r="F1452" t="str">
            <v>Môi giới chứng khoán, hàng hóa, đầu tư tài chính khác và các hoạt động liên quan</v>
          </cell>
          <cell r="G1452" t="str">
            <v>HOSE</v>
          </cell>
          <cell r="H1452">
            <v>98235174</v>
          </cell>
        </row>
        <row r="1453">
          <cell r="D1453" t="str">
            <v>TVT</v>
          </cell>
          <cell r="E1453" t="str">
            <v>Tổng Công ty Việt Thắng - CTCP</v>
          </cell>
          <cell r="F1453" t="str">
            <v>Sản xuất sợi, vải</v>
          </cell>
          <cell r="G1453" t="str">
            <v>HOSE</v>
          </cell>
          <cell r="H1453">
            <v>21000000</v>
          </cell>
        </row>
        <row r="1454">
          <cell r="D1454" t="str">
            <v>TVW</v>
          </cell>
          <cell r="E1454" t="str">
            <v>CTCP Cấp thoát nước Trà Vinh</v>
          </cell>
          <cell r="F1454" t="str">
            <v>Nước, chất thải và các hệ thống khác</v>
          </cell>
          <cell r="G1454" t="str">
            <v>UPCoM</v>
          </cell>
          <cell r="H1454">
            <v>14597860</v>
          </cell>
        </row>
        <row r="1455">
          <cell r="D1455" t="str">
            <v>TW3</v>
          </cell>
          <cell r="E1455" t="str">
            <v>CTCP Dược Trung ương 3</v>
          </cell>
          <cell r="F1455" t="str">
            <v>Sản xuất hóa chất, dược phẩm</v>
          </cell>
          <cell r="G1455" t="str">
            <v>UPCoM</v>
          </cell>
          <cell r="H1455">
            <v>1750000</v>
          </cell>
        </row>
        <row r="1456">
          <cell r="D1456" t="str">
            <v>TXM</v>
          </cell>
          <cell r="E1456" t="str">
            <v>CTCP VICEM Thạch cao Xi măng</v>
          </cell>
          <cell r="F1456" t="str">
            <v>Sản xuất sản phẩm khoáng chất phi kim</v>
          </cell>
          <cell r="G1456" t="str">
            <v>HNX</v>
          </cell>
          <cell r="H1456"/>
        </row>
        <row r="1457">
          <cell r="D1457" t="str">
            <v>TYA</v>
          </cell>
          <cell r="E1457" t="str">
            <v>CTCP Dây và Cáp Điện Taya Việt Nam</v>
          </cell>
          <cell r="F1457" t="str">
            <v>Sản xuất trang thiết bị, dụng cụ điện</v>
          </cell>
          <cell r="G1457" t="str">
            <v>HOSE</v>
          </cell>
          <cell r="H1457">
            <v>6134773</v>
          </cell>
        </row>
        <row r="1458">
          <cell r="D1458" t="str">
            <v>UCT</v>
          </cell>
          <cell r="E1458" t="str">
            <v>CTCP Đô thị Cần Thơ</v>
          </cell>
          <cell r="F1458" t="str">
            <v>Nước, chất thải và các hệ thống khác</v>
          </cell>
          <cell r="G1458" t="str">
            <v>UPCoM</v>
          </cell>
          <cell r="H1458">
            <v>5344345</v>
          </cell>
        </row>
        <row r="1459">
          <cell r="D1459" t="str">
            <v>UDC</v>
          </cell>
          <cell r="E1459" t="str">
            <v>CTCP Xây dựng và Phát triển Đô thị Tỉnh Bà Rịa Vũng Tàu</v>
          </cell>
          <cell r="F1459" t="str">
            <v>Xây dựng nhà cửa, cao ốc</v>
          </cell>
          <cell r="G1459" t="str">
            <v>HOSE</v>
          </cell>
          <cell r="H1459">
            <v>35000000</v>
          </cell>
        </row>
        <row r="1460">
          <cell r="D1460" t="str">
            <v>UDJ</v>
          </cell>
          <cell r="E1460" t="str">
            <v>CTCP Phát triển Đô thị</v>
          </cell>
          <cell r="F1460" t="str">
            <v>Xây dựng nhà cửa, cao ốc</v>
          </cell>
          <cell r="G1460" t="str">
            <v>UPCoM</v>
          </cell>
          <cell r="H1460">
            <v>16500000</v>
          </cell>
        </row>
        <row r="1461">
          <cell r="D1461" t="str">
            <v>UDL</v>
          </cell>
          <cell r="E1461" t="str">
            <v>CTCP Đô thị và Môi trường Đắk Lắk</v>
          </cell>
          <cell r="F1461" t="str">
            <v>Dịch vụ hành chính và hỗ trợ</v>
          </cell>
          <cell r="G1461" t="str">
            <v>UPCoM</v>
          </cell>
          <cell r="H1461">
            <v>6620000</v>
          </cell>
        </row>
        <row r="1462">
          <cell r="D1462" t="str">
            <v>UEM</v>
          </cell>
          <cell r="E1462" t="str">
            <v>CTCP Cơ điện Uông Bí - Vinacomin</v>
          </cell>
          <cell r="F1462" t="str">
            <v>Sản xuất trang thiết bị, dụng cụ điện</v>
          </cell>
          <cell r="G1462" t="str">
            <v>UPCoM</v>
          </cell>
          <cell r="H1462">
            <v>2438100</v>
          </cell>
        </row>
        <row r="1463">
          <cell r="D1463" t="str">
            <v>UIC</v>
          </cell>
          <cell r="E1463" t="str">
            <v>CTCP Đầu tư Phát triển Nhà và Đô thị IDICO</v>
          </cell>
          <cell r="F1463" t="str">
            <v>Phát, truyền tải và phân phối điện năng</v>
          </cell>
          <cell r="G1463" t="str">
            <v>HOSE</v>
          </cell>
          <cell r="H1463">
            <v>8000000</v>
          </cell>
        </row>
        <row r="1464">
          <cell r="D1464" t="str">
            <v>UMC</v>
          </cell>
          <cell r="E1464" t="str">
            <v>CTCP Công trình Đô thị Nam Định</v>
          </cell>
          <cell r="F1464" t="str">
            <v>Dịch vụ hành chính và hỗ trợ</v>
          </cell>
          <cell r="G1464" t="str">
            <v>UPCoM</v>
          </cell>
          <cell r="H1464">
            <v>1841617</v>
          </cell>
        </row>
        <row r="1465">
          <cell r="D1465" t="str">
            <v>UNI</v>
          </cell>
          <cell r="E1465" t="str">
            <v>CTCP Viễn Liên</v>
          </cell>
          <cell r="F1465" t="str">
            <v>Bán buôn hàng lâu bền</v>
          </cell>
          <cell r="G1465" t="str">
            <v>HNX</v>
          </cell>
          <cell r="H1465">
            <v>15617632</v>
          </cell>
        </row>
        <row r="1466">
          <cell r="D1466" t="str">
            <v>UPC</v>
          </cell>
          <cell r="E1466" t="str">
            <v>CTCP Phát triển Công viên Cây xanh và Đô thị Vũng Tàu</v>
          </cell>
          <cell r="F1466" t="str">
            <v>Kiến trúc, tư vấn xây dựng và dịch vụ liên quan</v>
          </cell>
          <cell r="G1466" t="str">
            <v>UPCoM</v>
          </cell>
          <cell r="H1466">
            <v>3400000</v>
          </cell>
        </row>
        <row r="1467">
          <cell r="D1467" t="str">
            <v>UPH</v>
          </cell>
          <cell r="E1467" t="str">
            <v>CTCP Dược phẩm TW 25</v>
          </cell>
          <cell r="F1467" t="str">
            <v>Sản xuất hóa chất, dược phẩm</v>
          </cell>
          <cell r="G1467" t="str">
            <v>UPCoM</v>
          </cell>
          <cell r="H1467">
            <v>13294641</v>
          </cell>
        </row>
        <row r="1468">
          <cell r="D1468" t="str">
            <v>USC</v>
          </cell>
          <cell r="E1468" t="str">
            <v>CTCP Khảo sát và Xây dựng -USCO</v>
          </cell>
          <cell r="F1468" t="str">
            <v>Kiến trúc, tư vấn xây dựng và dịch vụ liên quan</v>
          </cell>
          <cell r="G1468" t="str">
            <v>UPCoM</v>
          </cell>
          <cell r="H1468">
            <v>5500000</v>
          </cell>
        </row>
        <row r="1469">
          <cell r="D1469" t="str">
            <v>USD</v>
          </cell>
          <cell r="E1469" t="str">
            <v>CTCP Công trình Đô thị Sóc Trăng</v>
          </cell>
          <cell r="F1469" t="str">
            <v>Dịch vụ quản lý và tái chế chất thải</v>
          </cell>
          <cell r="G1469" t="str">
            <v>UPCoM</v>
          </cell>
          <cell r="H1469">
            <v>5600000</v>
          </cell>
        </row>
        <row r="1470">
          <cell r="D1470" t="str">
            <v>V11</v>
          </cell>
          <cell r="E1470" t="str">
            <v>CTCP Xây dựng Số 11</v>
          </cell>
          <cell r="F1470" t="str">
            <v>Xây dựng nhà cửa, cao ốc</v>
          </cell>
          <cell r="G1470" t="str">
            <v>UPCoM</v>
          </cell>
          <cell r="H1470">
            <v>8399889</v>
          </cell>
        </row>
        <row r="1471">
          <cell r="D1471" t="str">
            <v>V12</v>
          </cell>
          <cell r="E1471" t="str">
            <v>CTCP Xây dựng Số 12</v>
          </cell>
          <cell r="F1471" t="str">
            <v>Xây dựng nhà cửa, cao ốc</v>
          </cell>
          <cell r="G1471" t="str">
            <v>HNX</v>
          </cell>
          <cell r="H1471">
            <v>5818000</v>
          </cell>
        </row>
        <row r="1472">
          <cell r="D1472" t="str">
            <v>V15</v>
          </cell>
          <cell r="E1472" t="str">
            <v>CTCP Xây dựng Số 15</v>
          </cell>
          <cell r="F1472" t="str">
            <v>Xây dựng công nghiệp nặng và dân dụng</v>
          </cell>
          <cell r="G1472" t="str">
            <v>UPCoM</v>
          </cell>
          <cell r="H1472">
            <v>10000000</v>
          </cell>
        </row>
        <row r="1473">
          <cell r="D1473" t="str">
            <v>V21</v>
          </cell>
          <cell r="E1473" t="str">
            <v>CTCP Vinaconex 21</v>
          </cell>
          <cell r="F1473" t="str">
            <v>Xây dựng nhà cửa, cao ốc</v>
          </cell>
          <cell r="G1473" t="str">
            <v>HNX</v>
          </cell>
          <cell r="H1473">
            <v>11999789</v>
          </cell>
        </row>
        <row r="1474">
          <cell r="D1474" t="str">
            <v>VAB</v>
          </cell>
          <cell r="E1474" t="str">
            <v>Ngân hàng TMCP Việt Á</v>
          </cell>
          <cell r="F1474" t="str">
            <v>Trung gian tín dụng và các hoạt động liên quan</v>
          </cell>
          <cell r="G1474" t="str">
            <v>UPCoM</v>
          </cell>
          <cell r="H1474">
            <v>444963567</v>
          </cell>
        </row>
        <row r="1475">
          <cell r="D1475" t="str">
            <v>VAF</v>
          </cell>
          <cell r="E1475" t="str">
            <v>CTCP Phân lân Nung chảy Văn Điển</v>
          </cell>
          <cell r="F1475" t="str">
            <v>Sản xuất hóa chất, dược phẩm</v>
          </cell>
          <cell r="G1475" t="str">
            <v>HOSE</v>
          </cell>
          <cell r="H1475">
            <v>37665348</v>
          </cell>
        </row>
        <row r="1476">
          <cell r="D1476" t="str">
            <v>VAT</v>
          </cell>
          <cell r="E1476" t="str">
            <v>CTCP Viễn thông Vạn Xuân</v>
          </cell>
          <cell r="F1476" t="str">
            <v>Kiến trúc, tư vấn xây dựng và dịch vụ liên quan</v>
          </cell>
          <cell r="G1476" t="str">
            <v>HNX</v>
          </cell>
          <cell r="H1476">
            <v>4612953</v>
          </cell>
        </row>
        <row r="1477">
          <cell r="D1477" t="str">
            <v>VAV</v>
          </cell>
          <cell r="E1477" t="str">
            <v>CTCP VIWACO</v>
          </cell>
          <cell r="F1477" t="str">
            <v>Nước, chất thải và các hệ thống khác</v>
          </cell>
          <cell r="G1477" t="str">
            <v>UPCoM</v>
          </cell>
          <cell r="H1477">
            <v>16000000</v>
          </cell>
        </row>
        <row r="1478">
          <cell r="D1478" t="str">
            <v>VBB</v>
          </cell>
          <cell r="E1478" t="str">
            <v>Ngân hàng TMCP Việt Nam Thương Tín</v>
          </cell>
          <cell r="F1478" t="str">
            <v>Trung gian tín dụng và các hoạt động liên quan</v>
          </cell>
          <cell r="G1478" t="str">
            <v>UPCoM</v>
          </cell>
          <cell r="H1478">
            <v>477682669</v>
          </cell>
        </row>
        <row r="1479">
          <cell r="D1479" t="str">
            <v>VBC</v>
          </cell>
          <cell r="E1479" t="str">
            <v>CTCP Nhựa - Bao bì Vinh</v>
          </cell>
          <cell r="F1479" t="str">
            <v>Sản xuất giấy</v>
          </cell>
          <cell r="G1479" t="str">
            <v>HNX</v>
          </cell>
          <cell r="H1479">
            <v>7499972</v>
          </cell>
        </row>
        <row r="1480">
          <cell r="D1480" t="str">
            <v>VBG</v>
          </cell>
          <cell r="E1480" t="str">
            <v>CTCP Địa chất Việt Bắc - TKV</v>
          </cell>
          <cell r="F1480" t="str">
            <v>Kiến trúc, tư vấn xây dựng và dịch vụ liên quan</v>
          </cell>
          <cell r="G1480" t="str">
            <v>UPCoM</v>
          </cell>
          <cell r="H1480">
            <v>8600000</v>
          </cell>
        </row>
        <row r="1481">
          <cell r="D1481" t="str">
            <v>VBH</v>
          </cell>
          <cell r="E1481" t="str">
            <v>CTCP Điện tử Bình Hòa</v>
          </cell>
          <cell r="F1481" t="str">
            <v>Sản xuất các sản phẩm điện tử, vi tính</v>
          </cell>
          <cell r="G1481" t="str">
            <v>UPCoM</v>
          </cell>
          <cell r="H1481">
            <v>2900000</v>
          </cell>
        </row>
        <row r="1482">
          <cell r="D1482" t="str">
            <v>VC1</v>
          </cell>
          <cell r="E1482" t="str">
            <v>CTCP Xây dựng Số 1</v>
          </cell>
          <cell r="F1482" t="str">
            <v>Xây dựng nhà cửa, cao ốc</v>
          </cell>
          <cell r="G1482" t="str">
            <v>HNX</v>
          </cell>
          <cell r="H1482">
            <v>12000000</v>
          </cell>
        </row>
        <row r="1483">
          <cell r="D1483" t="str">
            <v>VC2</v>
          </cell>
          <cell r="E1483" t="str">
            <v>CTCP Đầu tư và Xây dựng Vina2</v>
          </cell>
          <cell r="F1483" t="str">
            <v>Xây dựng nhà cửa, cao ốc</v>
          </cell>
          <cell r="G1483" t="str">
            <v>HNX</v>
          </cell>
          <cell r="H1483">
            <v>15000000</v>
          </cell>
        </row>
        <row r="1484">
          <cell r="D1484" t="str">
            <v>VC3</v>
          </cell>
          <cell r="E1484" t="str">
            <v>CTCP Tập đoàn Nam Mê Kông</v>
          </cell>
          <cell r="F1484" t="str">
            <v>Phát triển bất động sản</v>
          </cell>
          <cell r="G1484" t="str">
            <v>HNX</v>
          </cell>
          <cell r="H1484">
            <v>61015642</v>
          </cell>
        </row>
        <row r="1485">
          <cell r="D1485" t="str">
            <v>VC5</v>
          </cell>
          <cell r="E1485" t="str">
            <v>CTCP Xây dựng Số 5</v>
          </cell>
          <cell r="F1485" t="str">
            <v>Xây dựng nhà cửa, cao ốc</v>
          </cell>
          <cell r="G1485" t="str">
            <v>UPCoM</v>
          </cell>
          <cell r="H1485">
            <v>5000000</v>
          </cell>
        </row>
        <row r="1486">
          <cell r="D1486" t="str">
            <v>VC6</v>
          </cell>
          <cell r="E1486" t="str">
            <v>CTCP Xây dựng và Đầu tư Visicons</v>
          </cell>
          <cell r="F1486" t="str">
            <v>Xây dựng nhà cửa, cao ốc</v>
          </cell>
          <cell r="G1486" t="str">
            <v>HNX</v>
          </cell>
          <cell r="H1486">
            <v>8000000</v>
          </cell>
        </row>
        <row r="1487">
          <cell r="D1487" t="str">
            <v>VC7</v>
          </cell>
          <cell r="E1487" t="str">
            <v>CTCP Tập đoàn BGI</v>
          </cell>
          <cell r="F1487" t="str">
            <v>Phát triển bất động sản</v>
          </cell>
          <cell r="G1487" t="str">
            <v>HNX</v>
          </cell>
          <cell r="H1487">
            <v>24022953</v>
          </cell>
        </row>
        <row r="1488">
          <cell r="D1488" t="str">
            <v>VC9</v>
          </cell>
          <cell r="E1488" t="str">
            <v>CTCP Xây dựng Số 9</v>
          </cell>
          <cell r="F1488" t="str">
            <v>Xây dựng nhà cửa, cao ốc</v>
          </cell>
          <cell r="G1488" t="str">
            <v>HNX</v>
          </cell>
          <cell r="H1488">
            <v>12000000</v>
          </cell>
        </row>
        <row r="1489">
          <cell r="D1489" t="str">
            <v>VCA</v>
          </cell>
          <cell r="E1489" t="str">
            <v>CTCP Thép VICASA - VNSTEEL</v>
          </cell>
          <cell r="F1489" t="str">
            <v>Sản xuất các sản phẩm kim loại cơ bản</v>
          </cell>
          <cell r="G1489" t="str">
            <v>HOSE</v>
          </cell>
          <cell r="H1489">
            <v>15187322</v>
          </cell>
        </row>
        <row r="1490">
          <cell r="D1490" t="str">
            <v>VCB</v>
          </cell>
          <cell r="E1490" t="str">
            <v>Ngân hàng TMCP Ngoại thương Việt Nam</v>
          </cell>
          <cell r="F1490" t="str">
            <v>Trung gian tín dụng và các hoạt động liên quan</v>
          </cell>
          <cell r="G1490" t="str">
            <v>HOSE</v>
          </cell>
          <cell r="H1490">
            <v>3708877448</v>
          </cell>
        </row>
        <row r="1491">
          <cell r="D1491" t="str">
            <v>VCC</v>
          </cell>
          <cell r="E1491" t="str">
            <v>CTCP Vinaconex 25</v>
          </cell>
          <cell r="F1491" t="str">
            <v>Xây dựng nhà cửa, cao ốc</v>
          </cell>
          <cell r="G1491" t="str">
            <v>HNX</v>
          </cell>
          <cell r="H1491">
            <v>12000000</v>
          </cell>
        </row>
        <row r="1492">
          <cell r="D1492" t="str">
            <v>VCE</v>
          </cell>
          <cell r="E1492" t="str">
            <v>CTCP Xây lắp Môi trường</v>
          </cell>
          <cell r="F1492" t="str">
            <v>Khai khoáng (ngoại trừ dầu mỏ và khí đốt)</v>
          </cell>
          <cell r="G1492" t="str">
            <v>UPCoM</v>
          </cell>
          <cell r="H1492">
            <v>5000000</v>
          </cell>
        </row>
        <row r="1493">
          <cell r="D1493" t="str">
            <v>VCF</v>
          </cell>
          <cell r="E1493" t="str">
            <v>CTCP Vinacafé Biên Hòa</v>
          </cell>
          <cell r="F1493" t="str">
            <v>Sản xuất đồ uống và thuốc lá</v>
          </cell>
          <cell r="G1493" t="str">
            <v>HOSE</v>
          </cell>
          <cell r="H1493">
            <v>26579135</v>
          </cell>
        </row>
        <row r="1494">
          <cell r="D1494" t="str">
            <v>VCG</v>
          </cell>
          <cell r="E1494" t="str">
            <v>Tổng Công ty cổ phần Xuất nhập khẩu và Xây dựng Việt Nam</v>
          </cell>
          <cell r="F1494" t="str">
            <v>Nhà thầu chuyên môn</v>
          </cell>
          <cell r="G1494" t="str">
            <v>HOSE</v>
          </cell>
          <cell r="H1494">
            <v>441710673</v>
          </cell>
        </row>
        <row r="1495">
          <cell r="D1495" t="str">
            <v>VCI</v>
          </cell>
          <cell r="E1495" t="str">
            <v>CTCP Chứng khoán Bản Việt</v>
          </cell>
          <cell r="F1495" t="str">
            <v>Môi giới chứng khoán, hàng hóa, đầu tư tài chính khác và các hoạt động liên quan</v>
          </cell>
          <cell r="G1495" t="str">
            <v>HOSE</v>
          </cell>
          <cell r="H1495">
            <v>333000000</v>
          </cell>
        </row>
        <row r="1496">
          <cell r="D1496" t="str">
            <v>VCM</v>
          </cell>
          <cell r="E1496" t="str">
            <v>CTCP Nhân lực và Thương mại Vinaconex</v>
          </cell>
          <cell r="F1496" t="str">
            <v>Dịch vụ hành chính và hỗ trợ</v>
          </cell>
          <cell r="G1496" t="str">
            <v>HNX</v>
          </cell>
          <cell r="H1496">
            <v>3000000</v>
          </cell>
        </row>
        <row r="1497">
          <cell r="D1497" t="str">
            <v>VCP</v>
          </cell>
          <cell r="E1497" t="str">
            <v>CTCP Tư Xây dựng và Năng Lượng VCP</v>
          </cell>
          <cell r="F1497" t="str">
            <v>Phát, truyền tải và phân phối điện năng</v>
          </cell>
          <cell r="G1497" t="str">
            <v>UPCoM</v>
          </cell>
          <cell r="H1497">
            <v>75239879</v>
          </cell>
        </row>
        <row r="1498">
          <cell r="D1498" t="str">
            <v>VCR</v>
          </cell>
          <cell r="E1498" t="str">
            <v>CTCP Đầu tư và Phát triển Du lịch Vinaconex</v>
          </cell>
          <cell r="F1498" t="str">
            <v>Phát triển bất động sản</v>
          </cell>
          <cell r="G1498" t="str">
            <v>UPCoM</v>
          </cell>
          <cell r="H1498">
            <v>180000000</v>
          </cell>
        </row>
        <row r="1499">
          <cell r="D1499" t="str">
            <v>VCS</v>
          </cell>
          <cell r="E1499" t="str">
            <v>CTCP Vicostone</v>
          </cell>
          <cell r="F1499" t="str">
            <v>Sản xuất sản phẩm khoáng chất phi kim</v>
          </cell>
          <cell r="G1499" t="str">
            <v>HNX</v>
          </cell>
          <cell r="H1499">
            <v>160000000</v>
          </cell>
        </row>
        <row r="1500">
          <cell r="D1500" t="str">
            <v>VCT</v>
          </cell>
          <cell r="E1500" t="str">
            <v>CTCP Tư vấn Xây dựng Vinaconex</v>
          </cell>
          <cell r="F1500" t="str">
            <v>Kiến trúc, tư vấn xây dựng và dịch vụ liên quan</v>
          </cell>
          <cell r="G1500" t="str">
            <v>UPCoM</v>
          </cell>
          <cell r="H1500">
            <v>1100000</v>
          </cell>
        </row>
        <row r="1501">
          <cell r="D1501" t="str">
            <v>VCW</v>
          </cell>
          <cell r="E1501" t="str">
            <v>CTCP Đầu tư Nước sạch Sông Đà</v>
          </cell>
          <cell r="F1501" t="str">
            <v>Nước, chất thải và các hệ thống khác</v>
          </cell>
          <cell r="G1501" t="str">
            <v>UPCoM</v>
          </cell>
          <cell r="H1501">
            <v>75000000</v>
          </cell>
        </row>
        <row r="1502">
          <cell r="D1502" t="str">
            <v>VCX</v>
          </cell>
          <cell r="E1502" t="str">
            <v>CTCP Xi măng Yên Bình</v>
          </cell>
          <cell r="F1502" t="str">
            <v>Sản xuất sản phẩm khoáng chất phi kim</v>
          </cell>
          <cell r="G1502" t="str">
            <v>UPCoM</v>
          </cell>
          <cell r="H1502">
            <v>26530000</v>
          </cell>
        </row>
        <row r="1503">
          <cell r="D1503" t="str">
            <v>VDB</v>
          </cell>
          <cell r="E1503" t="str">
            <v>CTCP Vận tải và Chế biến Than Đông Bắc</v>
          </cell>
          <cell r="F1503" t="str">
            <v>Khai khoáng (ngoại trừ dầu mỏ và khí đốt)</v>
          </cell>
          <cell r="G1503" t="str">
            <v>UPCoM</v>
          </cell>
          <cell r="H1503">
            <v>6629999</v>
          </cell>
        </row>
        <row r="1504">
          <cell r="D1504" t="str">
            <v>VDL</v>
          </cell>
          <cell r="E1504" t="str">
            <v>CTCP Thực phẩm Lâm Đồng</v>
          </cell>
          <cell r="F1504" t="str">
            <v>Sản xuất đồ uống và thuốc lá</v>
          </cell>
          <cell r="G1504" t="str">
            <v>HNX</v>
          </cell>
          <cell r="H1504">
            <v>14657150</v>
          </cell>
        </row>
        <row r="1505">
          <cell r="D1505" t="str">
            <v>VDM</v>
          </cell>
          <cell r="E1505" t="str">
            <v>Viện Dệt May</v>
          </cell>
          <cell r="F1505" t="str">
            <v>Các dịch vụ chuyên môn, khoa học và kỹ thuật khác</v>
          </cell>
          <cell r="G1505" t="str">
            <v>UPCoM</v>
          </cell>
          <cell r="H1505">
            <v>5000000</v>
          </cell>
        </row>
        <row r="1506">
          <cell r="D1506" t="str">
            <v>VDN</v>
          </cell>
          <cell r="E1506" t="str">
            <v>CTCP Vinatex Đà Nẵng</v>
          </cell>
          <cell r="F1506" t="str">
            <v>Sản xuất các sản phẩm may mặc</v>
          </cell>
          <cell r="G1506" t="str">
            <v>UPCoM</v>
          </cell>
          <cell r="H1506"/>
        </row>
        <row r="1507">
          <cell r="D1507" t="str">
            <v>VDP</v>
          </cell>
          <cell r="E1507" t="str">
            <v>CTCP Dược phẩm Trung ương VIDIPHA</v>
          </cell>
          <cell r="F1507" t="str">
            <v>Sản xuất hóa chất, dược phẩm</v>
          </cell>
          <cell r="G1507" t="str">
            <v>HOSE</v>
          </cell>
          <cell r="H1507">
            <v>16082904</v>
          </cell>
        </row>
        <row r="1508">
          <cell r="D1508" t="str">
            <v>VDS</v>
          </cell>
          <cell r="E1508" t="str">
            <v>CTCP Chứng khoán Rồng Việt</v>
          </cell>
          <cell r="F1508" t="str">
            <v>Môi giới chứng khoán, hàng hóa, đầu tư tài chính khác và các hoạt động liên quan</v>
          </cell>
          <cell r="G1508" t="str">
            <v>HOSE</v>
          </cell>
          <cell r="H1508">
            <v>105104665</v>
          </cell>
        </row>
        <row r="1509">
          <cell r="D1509" t="str">
            <v>VDT</v>
          </cell>
          <cell r="E1509" t="str">
            <v>CTCP Lưới thép Bình Tây</v>
          </cell>
          <cell r="F1509" t="str">
            <v>Sản xuất các sản phẩm kim loại cơ bản</v>
          </cell>
          <cell r="G1509" t="str">
            <v>UPCoM</v>
          </cell>
          <cell r="H1509">
            <v>1965440</v>
          </cell>
        </row>
        <row r="1510">
          <cell r="D1510" t="str">
            <v>VE1</v>
          </cell>
          <cell r="E1510" t="str">
            <v>CTCP Xây dựng Điện VNECO 1</v>
          </cell>
          <cell r="F1510" t="str">
            <v>Xây dựng công nghiệp nặng và dân dụng</v>
          </cell>
          <cell r="G1510" t="str">
            <v>HNX</v>
          </cell>
          <cell r="H1510">
            <v>6000000</v>
          </cell>
        </row>
        <row r="1511">
          <cell r="D1511" t="str">
            <v>VE2</v>
          </cell>
          <cell r="E1511" t="str">
            <v>CTCP Xây dựng Điện VNECO 2</v>
          </cell>
          <cell r="F1511" t="str">
            <v>Xây dựng công nghiệp nặng và dân dụng</v>
          </cell>
          <cell r="G1511" t="str">
            <v>HNX</v>
          </cell>
          <cell r="H1511">
            <v>2158880</v>
          </cell>
        </row>
        <row r="1512">
          <cell r="D1512" t="str">
            <v>VE3</v>
          </cell>
          <cell r="E1512" t="str">
            <v>CTCP Xây dựng Điện VNECO 3</v>
          </cell>
          <cell r="F1512" t="str">
            <v>Xây dựng công nghiệp nặng và dân dụng</v>
          </cell>
          <cell r="G1512" t="str">
            <v>HNX</v>
          </cell>
          <cell r="H1512">
            <v>1319710</v>
          </cell>
        </row>
        <row r="1513">
          <cell r="D1513" t="str">
            <v>VE4</v>
          </cell>
          <cell r="E1513" t="str">
            <v>CTCP Xây dựng Điện VNECO4</v>
          </cell>
          <cell r="F1513" t="str">
            <v>Xây dựng công nghiệp nặng và dân dụng</v>
          </cell>
          <cell r="G1513" t="str">
            <v>HNX</v>
          </cell>
          <cell r="H1513">
            <v>1028000</v>
          </cell>
        </row>
        <row r="1514">
          <cell r="D1514" t="str">
            <v>VE8</v>
          </cell>
          <cell r="E1514" t="str">
            <v>CTCP Xây dựng Điện VNECO 8</v>
          </cell>
          <cell r="F1514" t="str">
            <v>Xây dựng công nghiệp nặng và dân dụng</v>
          </cell>
          <cell r="G1514" t="str">
            <v>HNX</v>
          </cell>
          <cell r="H1514">
            <v>1800000</v>
          </cell>
        </row>
        <row r="1515">
          <cell r="D1515" t="str">
            <v>VE9</v>
          </cell>
          <cell r="E1515" t="str">
            <v>CTCP Đầu tư và Xây dựng VNECO 9</v>
          </cell>
          <cell r="F1515" t="str">
            <v>Xây dựng công nghiệp nặng và dân dụng</v>
          </cell>
          <cell r="G1515" t="str">
            <v>UPCoM</v>
          </cell>
          <cell r="H1515">
            <v>12523613</v>
          </cell>
        </row>
        <row r="1516">
          <cell r="D1516" t="str">
            <v>VEA</v>
          </cell>
          <cell r="E1516" t="str">
            <v>Tổng Công ty Máy động lực và Máy nông nghiệp Việt Nam – CTCP</v>
          </cell>
          <cell r="F1516" t="str">
            <v>Sản xuất thiết bị, máy móc</v>
          </cell>
          <cell r="G1516" t="str">
            <v>UPCoM</v>
          </cell>
          <cell r="H1516">
            <v>1328800000</v>
          </cell>
        </row>
        <row r="1517">
          <cell r="D1517" t="str">
            <v>VEC</v>
          </cell>
          <cell r="E1517" t="str">
            <v>Tổng Công ty cổ phần Điện tử và Tin học Việt Nam</v>
          </cell>
          <cell r="F1517" t="str">
            <v>Sản xuất trang thiết bị, dụng cụ điện</v>
          </cell>
          <cell r="G1517" t="str">
            <v>UPCoM</v>
          </cell>
          <cell r="H1517">
            <v>43800000</v>
          </cell>
        </row>
        <row r="1518">
          <cell r="D1518" t="str">
            <v>VEF</v>
          </cell>
          <cell r="E1518" t="str">
            <v>CTCP Trung tâm Hội chợ Triển lãm Việt Nam</v>
          </cell>
          <cell r="F1518" t="str">
            <v>Dịch vụ hành chính và hỗ trợ</v>
          </cell>
          <cell r="G1518" t="str">
            <v>UPCoM</v>
          </cell>
          <cell r="H1518">
            <v>166604050</v>
          </cell>
        </row>
        <row r="1519">
          <cell r="D1519" t="str">
            <v>VES</v>
          </cell>
          <cell r="E1519" t="str">
            <v>CTCP Đầu tư và Xây dựng Điện Mêca Vneco</v>
          </cell>
          <cell r="F1519" t="str">
            <v>Bất động sản</v>
          </cell>
          <cell r="G1519" t="str">
            <v>UPCoM</v>
          </cell>
          <cell r="H1519">
            <v>9007500</v>
          </cell>
        </row>
        <row r="1520">
          <cell r="D1520" t="str">
            <v>VET</v>
          </cell>
          <cell r="E1520" t="str">
            <v>CTCP Thuốc thú y Trung ương Navetco</v>
          </cell>
          <cell r="F1520" t="str">
            <v>Sản xuất hóa chất, dược phẩm</v>
          </cell>
          <cell r="G1520" t="str">
            <v>UPCoM</v>
          </cell>
          <cell r="H1520">
            <v>16000000</v>
          </cell>
        </row>
        <row r="1521">
          <cell r="D1521" t="str">
            <v>VFC</v>
          </cell>
          <cell r="E1521" t="str">
            <v>CTCP Vinafco</v>
          </cell>
          <cell r="F1521" t="str">
            <v>Hỗ trợ vận tải</v>
          </cell>
          <cell r="G1521" t="str">
            <v>UPCoM</v>
          </cell>
          <cell r="H1521">
            <v>34000000</v>
          </cell>
        </row>
        <row r="1522">
          <cell r="D1522" t="str">
            <v>VFG</v>
          </cell>
          <cell r="E1522" t="str">
            <v>CTCP Khử trùng Việt Nam</v>
          </cell>
          <cell r="F1522" t="str">
            <v>Bán buôn hàng tiêu dùng</v>
          </cell>
          <cell r="G1522" t="str">
            <v>HNX</v>
          </cell>
          <cell r="H1522">
            <v>32088864</v>
          </cell>
        </row>
        <row r="1523">
          <cell r="D1523" t="str">
            <v>VFR</v>
          </cell>
          <cell r="E1523" t="str">
            <v>CTCP Vận tải và Thuê tàu</v>
          </cell>
          <cell r="F1523" t="str">
            <v>Hỗ trợ vận tải</v>
          </cell>
          <cell r="G1523" t="str">
            <v>UPCoM</v>
          </cell>
          <cell r="H1523">
            <v>15000000</v>
          </cell>
        </row>
        <row r="1524">
          <cell r="D1524" t="str">
            <v>VFS</v>
          </cell>
          <cell r="E1524" t="str">
            <v>CTCP Chứng khoán Nhất Việt</v>
          </cell>
          <cell r="F1524" t="str">
            <v>Môi giới chứng khoán, hàng hóa, đầu tư tài chính khác và các hoạt động liên quan</v>
          </cell>
          <cell r="G1524" t="str">
            <v>UPCoM</v>
          </cell>
          <cell r="H1524">
            <v>41000000</v>
          </cell>
        </row>
        <row r="1525">
          <cell r="D1525" t="str">
            <v>VGC</v>
          </cell>
          <cell r="E1525" t="str">
            <v>Tổng Công ty Viglacera - CTCP</v>
          </cell>
          <cell r="F1525" t="str">
            <v>Kinh doanh vật liệu xây dựng, trang thiết bị làm vườn</v>
          </cell>
          <cell r="G1525" t="str">
            <v>HOSE</v>
          </cell>
          <cell r="H1525">
            <v>448350000</v>
          </cell>
        </row>
        <row r="1526">
          <cell r="D1526" t="str">
            <v>VGG</v>
          </cell>
          <cell r="E1526" t="str">
            <v>Tổng Công ty cổ phần May Việt Tiến</v>
          </cell>
          <cell r="F1526" t="str">
            <v>Sản xuất các sản phẩm may mặc</v>
          </cell>
          <cell r="G1526" t="str">
            <v>UPCoM</v>
          </cell>
          <cell r="H1526">
            <v>44100000</v>
          </cell>
        </row>
        <row r="1527">
          <cell r="D1527" t="str">
            <v>VGI</v>
          </cell>
          <cell r="E1527" t="str">
            <v>Tổng Công ty cổ phần Đầu tư Quốc tế Viettel</v>
          </cell>
          <cell r="F1527" t="str">
            <v>Viễn thông</v>
          </cell>
          <cell r="G1527" t="str">
            <v>UPCoM</v>
          </cell>
          <cell r="H1527">
            <v>3043811200</v>
          </cell>
        </row>
        <row r="1528">
          <cell r="D1528" t="str">
            <v>VGL</v>
          </cell>
          <cell r="E1528" t="str">
            <v>CTCP Mạ Kẽm Công Nghiệp Vingal - Vnsteel</v>
          </cell>
          <cell r="F1528" t="str">
            <v>Sản xuất các sản phẩm kim loại cơ bản</v>
          </cell>
          <cell r="G1528" t="str">
            <v>UPCoM</v>
          </cell>
          <cell r="H1528">
            <v>9325155</v>
          </cell>
        </row>
        <row r="1529">
          <cell r="D1529" t="str">
            <v>VGP</v>
          </cell>
          <cell r="E1529" t="str">
            <v>CTCP Cảng Rau Quả</v>
          </cell>
          <cell r="F1529" t="str">
            <v>Hỗ trợ vận tải</v>
          </cell>
          <cell r="G1529" t="str">
            <v>HNX</v>
          </cell>
          <cell r="H1529">
            <v>8214692</v>
          </cell>
        </row>
        <row r="1530">
          <cell r="D1530" t="str">
            <v>VGR</v>
          </cell>
          <cell r="E1530" t="str">
            <v>CTCP Cảng Xanh Vip</v>
          </cell>
          <cell r="F1530" t="str">
            <v>Hỗ trợ vận tải</v>
          </cell>
          <cell r="G1530" t="str">
            <v>UPCoM</v>
          </cell>
          <cell r="H1530">
            <v>63250000</v>
          </cell>
        </row>
        <row r="1531">
          <cell r="D1531" t="str">
            <v>VGS</v>
          </cell>
          <cell r="E1531" t="str">
            <v>CTCP Ống thép Việt Đức VG PIPE</v>
          </cell>
          <cell r="F1531" t="str">
            <v>Sản xuất các sản phẩm kim loại cơ bản</v>
          </cell>
          <cell r="G1531" t="str">
            <v>HNX</v>
          </cell>
          <cell r="H1531">
            <v>42111589</v>
          </cell>
        </row>
        <row r="1532">
          <cell r="D1532" t="str">
            <v>VGT</v>
          </cell>
          <cell r="E1532" t="str">
            <v>Tập đoàn Dệt May Việt Nam</v>
          </cell>
          <cell r="F1532" t="str">
            <v>Sản xuất các sản phẩm may mặc</v>
          </cell>
          <cell r="G1532" t="str">
            <v>UPCoM</v>
          </cell>
          <cell r="H1532">
            <v>500000000</v>
          </cell>
        </row>
        <row r="1533">
          <cell r="D1533" t="str">
            <v>VGV</v>
          </cell>
          <cell r="E1533" t="str">
            <v>Tổng Công ty Tư vấn Xây dựng Việt Nam - CTCP</v>
          </cell>
          <cell r="F1533" t="str">
            <v>Kiến trúc, tư vấn xây dựng và dịch vụ liên quan</v>
          </cell>
          <cell r="G1533" t="str">
            <v>UPCoM</v>
          </cell>
          <cell r="H1533">
            <v>35774448</v>
          </cell>
        </row>
        <row r="1534">
          <cell r="D1534" t="str">
            <v>VHC</v>
          </cell>
          <cell r="E1534" t="str">
            <v>CTCP Vĩnh Hoàn</v>
          </cell>
          <cell r="F1534" t="str">
            <v>Sản xuất thực phẩm</v>
          </cell>
          <cell r="G1534" t="str">
            <v>HOSE</v>
          </cell>
          <cell r="H1534">
            <v>183376956</v>
          </cell>
        </row>
        <row r="1535">
          <cell r="D1535" t="str">
            <v>VHD</v>
          </cell>
          <cell r="E1535" t="str">
            <v>CTCP Đầu tư Phát triển Nhà và Đô Thị VINAHUD</v>
          </cell>
          <cell r="F1535" t="str">
            <v>Phát triển bất động sản</v>
          </cell>
          <cell r="G1535" t="str">
            <v>UPCoM</v>
          </cell>
          <cell r="H1535">
            <v>7000000</v>
          </cell>
        </row>
        <row r="1536">
          <cell r="D1536" t="str">
            <v>VHE</v>
          </cell>
          <cell r="E1536" t="str">
            <v>CTCP Dược liệu và Thực phẩm Việt Nam</v>
          </cell>
          <cell r="F1536" t="str">
            <v>Sản xuất thực phẩm</v>
          </cell>
          <cell r="G1536" t="str">
            <v>HNX</v>
          </cell>
          <cell r="H1536">
            <v>15840000</v>
          </cell>
        </row>
        <row r="1537">
          <cell r="D1537" t="str">
            <v>VHF</v>
          </cell>
          <cell r="E1537" t="str">
            <v>CTCP Xây dựng và Chế biến Lương thực Vĩnh Hà</v>
          </cell>
          <cell r="F1537" t="str">
            <v>Sản xuất thực phẩm</v>
          </cell>
          <cell r="G1537" t="str">
            <v>UPCoM</v>
          </cell>
          <cell r="H1537">
            <v>21500000</v>
          </cell>
        </row>
        <row r="1538">
          <cell r="D1538" t="str">
            <v>VHG</v>
          </cell>
          <cell r="E1538" t="str">
            <v>CTCP Đầu tư Phát triển Việt Trung Nam</v>
          </cell>
          <cell r="F1538" t="str">
            <v>Sản xuất hóa chất, dược phẩm</v>
          </cell>
          <cell r="G1538" t="str">
            <v>UPCoM</v>
          </cell>
          <cell r="H1538">
            <v>150000000</v>
          </cell>
        </row>
        <row r="1539">
          <cell r="D1539" t="str">
            <v>VHH</v>
          </cell>
          <cell r="E1539" t="str">
            <v>CTCP Đầu tư Kinh doanh Nhà Thành Đạt</v>
          </cell>
          <cell r="F1539" t="str">
            <v>Sản xuất sản phẩm khoáng chất phi kim</v>
          </cell>
          <cell r="G1539" t="str">
            <v>UPCoM</v>
          </cell>
          <cell r="H1539">
            <v>7500000</v>
          </cell>
        </row>
        <row r="1540">
          <cell r="D1540" t="str">
            <v>VHI</v>
          </cell>
          <cell r="E1540" t="str">
            <v>CTCP Kinh doanh và Đầu tư Việt Hà</v>
          </cell>
          <cell r="F1540" t="str">
            <v>Bán buôn hàng tiêu dùng</v>
          </cell>
          <cell r="G1540" t="str">
            <v>UPCoM</v>
          </cell>
          <cell r="H1540">
            <v>76900000</v>
          </cell>
        </row>
        <row r="1541">
          <cell r="D1541" t="str">
            <v>VHL</v>
          </cell>
          <cell r="E1541" t="str">
            <v>CTCP Viglacera Hạ Long</v>
          </cell>
          <cell r="F1541" t="str">
            <v>Sản xuất sản phẩm khoáng chất phi kim</v>
          </cell>
          <cell r="G1541" t="str">
            <v>HNX</v>
          </cell>
          <cell r="H1541">
            <v>25000000</v>
          </cell>
        </row>
        <row r="1542">
          <cell r="D1542" t="str">
            <v>VHM</v>
          </cell>
          <cell r="E1542" t="str">
            <v>CTCP Vinhomes</v>
          </cell>
          <cell r="F1542" t="str">
            <v>Phát triển bất động sản</v>
          </cell>
          <cell r="G1542" t="str">
            <v>HOSE</v>
          </cell>
          <cell r="H1542">
            <v>3349513918</v>
          </cell>
        </row>
        <row r="1543">
          <cell r="D1543" t="str">
            <v>VIB</v>
          </cell>
          <cell r="E1543" t="str">
            <v>Ngân hàng TMCP Quốc tế Việt Nam</v>
          </cell>
          <cell r="F1543" t="str">
            <v>Trung gian tín dụng và các hoạt động liên quan</v>
          </cell>
          <cell r="G1543" t="str">
            <v>HOSE</v>
          </cell>
          <cell r="H1543">
            <v>1553142993</v>
          </cell>
        </row>
        <row r="1544">
          <cell r="D1544" t="str">
            <v>VIC</v>
          </cell>
          <cell r="E1544" t="str">
            <v>Tập đoàn VINGROUP - CTCP</v>
          </cell>
          <cell r="F1544" t="str">
            <v>Phát triển bất động sản</v>
          </cell>
          <cell r="G1544" t="str">
            <v>HOSE</v>
          </cell>
          <cell r="H1544">
            <v>3382430590</v>
          </cell>
        </row>
        <row r="1545">
          <cell r="D1545" t="str">
            <v>VID</v>
          </cell>
          <cell r="E1545" t="str">
            <v>CTCP Đầu tư Phát triển Thương mại Viễn Đông</v>
          </cell>
          <cell r="F1545" t="str">
            <v>Bán buôn hàng tiêu dùng</v>
          </cell>
          <cell r="G1545" t="str">
            <v>HOSE</v>
          </cell>
          <cell r="H1545">
            <v>35510789</v>
          </cell>
        </row>
        <row r="1546">
          <cell r="D1546" t="str">
            <v>VIE</v>
          </cell>
          <cell r="E1546" t="str">
            <v>CTCP Công nghệ Viễn thông VITECO</v>
          </cell>
          <cell r="F1546" t="str">
            <v>Viễn thông</v>
          </cell>
          <cell r="G1546" t="str">
            <v>HNX</v>
          </cell>
          <cell r="H1546">
            <v>2061244</v>
          </cell>
        </row>
        <row r="1547">
          <cell r="D1547" t="str">
            <v>VIF</v>
          </cell>
          <cell r="E1547" t="str">
            <v>Tổng Công ty Lâm nghiệp Việt Nam - CTCP</v>
          </cell>
          <cell r="F1547" t="str">
            <v>Trồng rừng và khai thác gỗ</v>
          </cell>
          <cell r="G1547" t="str">
            <v>HNX</v>
          </cell>
          <cell r="H1547">
            <v>350000000</v>
          </cell>
        </row>
        <row r="1548">
          <cell r="D1548" t="str">
            <v>VIG</v>
          </cell>
          <cell r="E1548" t="str">
            <v>CTCP Chứng khoán Thương mại và Công nghiệp Việt Nam</v>
          </cell>
          <cell r="F1548" t="str">
            <v>Môi giới chứng khoán, hàng hóa, đầu tư tài chính khác và các hoạt động liên quan</v>
          </cell>
          <cell r="G1548" t="str">
            <v>HNX</v>
          </cell>
          <cell r="H1548">
            <v>34133300</v>
          </cell>
        </row>
        <row r="1549">
          <cell r="D1549" t="str">
            <v>VIH</v>
          </cell>
          <cell r="E1549" t="str">
            <v>CTCP Viglacera Hà Nội</v>
          </cell>
          <cell r="F1549" t="str">
            <v>Sản xuất sản phẩm khoáng chất phi kim</v>
          </cell>
          <cell r="G1549" t="str">
            <v>UPCoM</v>
          </cell>
          <cell r="H1549">
            <v>5600000</v>
          </cell>
        </row>
        <row r="1550">
          <cell r="D1550" t="str">
            <v>VIM</v>
          </cell>
          <cell r="E1550" t="str">
            <v>CTCP Khoáng sản Viglacera</v>
          </cell>
          <cell r="F1550" t="str">
            <v>Khai khoáng (ngoại trừ dầu mỏ và khí đốt)</v>
          </cell>
          <cell r="G1550" t="str">
            <v>UPCoM</v>
          </cell>
          <cell r="H1550">
            <v>1250000</v>
          </cell>
        </row>
        <row r="1551">
          <cell r="D1551" t="str">
            <v>VIN</v>
          </cell>
          <cell r="E1551" t="str">
            <v>CTCP Giao nhận Kho vận Ngoại Thương Việt Nam</v>
          </cell>
          <cell r="F1551" t="str">
            <v>Hỗ trợ vận tải</v>
          </cell>
          <cell r="G1551" t="str">
            <v>UPCoM</v>
          </cell>
          <cell r="H1551">
            <v>25500000</v>
          </cell>
        </row>
        <row r="1552">
          <cell r="D1552" t="str">
            <v>VIP</v>
          </cell>
          <cell r="E1552" t="str">
            <v>CTCP Vận tải Xăng dầu Vipco</v>
          </cell>
          <cell r="F1552" t="str">
            <v>Vận tải đường thủy</v>
          </cell>
          <cell r="G1552" t="str">
            <v>HOSE</v>
          </cell>
          <cell r="H1552">
            <v>68470941</v>
          </cell>
        </row>
        <row r="1553">
          <cell r="D1553" t="str">
            <v>VIR</v>
          </cell>
          <cell r="E1553" t="str">
            <v>CTCP Du lịch Quốc tế Vũng Tàu</v>
          </cell>
          <cell r="F1553" t="str">
            <v>Khách sạn và phòng ở</v>
          </cell>
          <cell r="G1553" t="str">
            <v>UPCoM</v>
          </cell>
          <cell r="H1553">
            <v>8240000</v>
          </cell>
        </row>
        <row r="1554">
          <cell r="D1554" t="str">
            <v>VIS</v>
          </cell>
          <cell r="E1554" t="str">
            <v>CTCP Thép Việt Ý</v>
          </cell>
          <cell r="F1554" t="str">
            <v>Sản xuất các sản phẩm kim loại cơ bản</v>
          </cell>
          <cell r="G1554" t="str">
            <v>HOSE</v>
          </cell>
          <cell r="H1554">
            <v>73830393</v>
          </cell>
        </row>
        <row r="1555">
          <cell r="D1555" t="str">
            <v>VIT</v>
          </cell>
          <cell r="E1555" t="str">
            <v>CTCP Viglacera Tiên Sơn</v>
          </cell>
          <cell r="F1555" t="str">
            <v>Sản xuất sản phẩm khoáng chất phi kim</v>
          </cell>
          <cell r="G1555" t="str">
            <v>HNX</v>
          </cell>
          <cell r="H1555">
            <v>19500000</v>
          </cell>
        </row>
        <row r="1556">
          <cell r="D1556" t="str">
            <v>VIW</v>
          </cell>
          <cell r="E1556" t="str">
            <v>Tổng Công ty Đầu tư Nước và Môi trường Việt Nam</v>
          </cell>
          <cell r="F1556" t="str">
            <v>Xây dựng công nghiệp nặng và dân dụng</v>
          </cell>
          <cell r="G1556" t="str">
            <v>UPCoM</v>
          </cell>
          <cell r="H1556"/>
        </row>
        <row r="1557">
          <cell r="D1557" t="str">
            <v>VIX</v>
          </cell>
          <cell r="E1557" t="str">
            <v>CTCP Chứng khoán VIX</v>
          </cell>
          <cell r="F1557" t="str">
            <v>Môi giới chứng khoán, hàng hóa, đầu tư tài chính khác và các hoạt động liên quan</v>
          </cell>
          <cell r="G1557" t="str">
            <v>HOSE</v>
          </cell>
          <cell r="H1557">
            <v>127718975</v>
          </cell>
        </row>
        <row r="1558">
          <cell r="D1558" t="str">
            <v>VJC</v>
          </cell>
          <cell r="E1558" t="str">
            <v>CTCP Hàng không Vietjet</v>
          </cell>
          <cell r="F1558" t="str">
            <v>Vận tải hàng không</v>
          </cell>
          <cell r="G1558" t="str">
            <v>HOSE</v>
          </cell>
          <cell r="H1558">
            <v>541611334</v>
          </cell>
        </row>
        <row r="1559">
          <cell r="D1559" t="str">
            <v>VKC</v>
          </cell>
          <cell r="E1559" t="str">
            <v>CTCP Cáp - Nhựa Vĩnh Khánh</v>
          </cell>
          <cell r="F1559" t="str">
            <v>Bán buôn hàng lâu bền</v>
          </cell>
          <cell r="G1559" t="str">
            <v>HNX</v>
          </cell>
          <cell r="H1559">
            <v>20000000</v>
          </cell>
        </row>
        <row r="1560">
          <cell r="D1560" t="str">
            <v>VKD</v>
          </cell>
          <cell r="E1560" t="str">
            <v>CTCP Nước khoáng Khánh Hòa - FIT Beverage</v>
          </cell>
          <cell r="F1560" t="str">
            <v>Sản xuất đồ uống và thuốc lá</v>
          </cell>
          <cell r="G1560" t="str">
            <v>UPCoM</v>
          </cell>
          <cell r="H1560">
            <v>11999988</v>
          </cell>
        </row>
        <row r="1561">
          <cell r="D1561" t="str">
            <v>VKP</v>
          </cell>
          <cell r="E1561" t="str">
            <v>CTCP Nhựa Tân Hóa</v>
          </cell>
          <cell r="F1561" t="str">
            <v>Sản xuất các sản phẩm nhựa và cao su</v>
          </cell>
          <cell r="G1561" t="str">
            <v>UPCoM</v>
          </cell>
          <cell r="H1561">
            <v>8000000</v>
          </cell>
        </row>
        <row r="1562">
          <cell r="D1562" t="str">
            <v>VLA</v>
          </cell>
          <cell r="E1562" t="str">
            <v>CTCP Đầu tư và Phát triển Công nghệ Văn Lang</v>
          </cell>
          <cell r="F1562" t="str">
            <v>Thiết kế hệ thống máy tính và dịch vụ liên quan</v>
          </cell>
          <cell r="G1562" t="str">
            <v>HNX</v>
          </cell>
          <cell r="H1562">
            <v>1080000</v>
          </cell>
        </row>
        <row r="1563">
          <cell r="D1563" t="str">
            <v>VLB</v>
          </cell>
          <cell r="E1563" t="str">
            <v>CTCP Xây dựng và Sản xuất Vật liệu xây dựng Biên Hòa</v>
          </cell>
          <cell r="F1563" t="str">
            <v>Khai khoáng (ngoại trừ dầu mỏ và khí đốt)</v>
          </cell>
          <cell r="G1563" t="str">
            <v>UPCoM</v>
          </cell>
          <cell r="H1563">
            <v>47000000</v>
          </cell>
        </row>
        <row r="1564">
          <cell r="D1564" t="str">
            <v>VLC</v>
          </cell>
          <cell r="E1564" t="str">
            <v>Tổng Công ty Chăn Nuôi Việt Nam - CTCP</v>
          </cell>
          <cell r="F1564" t="str">
            <v>Sản xuất thực phẩm</v>
          </cell>
          <cell r="G1564" t="str">
            <v>UPCoM</v>
          </cell>
          <cell r="H1564">
            <v>63101000</v>
          </cell>
        </row>
        <row r="1565">
          <cell r="D1565" t="str">
            <v>VLF</v>
          </cell>
          <cell r="E1565" t="str">
            <v>CTCP Lương thực Thực phẩm Vĩnh Long</v>
          </cell>
          <cell r="F1565" t="str">
            <v>Sản xuất thực phẩm</v>
          </cell>
          <cell r="G1565" t="str">
            <v>UPCoM</v>
          </cell>
          <cell r="H1565">
            <v>11959982</v>
          </cell>
        </row>
        <row r="1566">
          <cell r="D1566" t="str">
            <v>VLG</v>
          </cell>
          <cell r="E1566" t="str">
            <v>CTCP VIMC Logistics</v>
          </cell>
          <cell r="F1566" t="str">
            <v>Hỗ trợ vận tải</v>
          </cell>
          <cell r="G1566" t="str">
            <v>UPCoM</v>
          </cell>
          <cell r="H1566">
            <v>14212130</v>
          </cell>
        </row>
        <row r="1567">
          <cell r="D1567" t="str">
            <v>VLP</v>
          </cell>
          <cell r="E1567" t="str">
            <v>CTCP Công trình Công cộng Vĩnh Long</v>
          </cell>
          <cell r="F1567" t="str">
            <v>Dịch vụ quản lý và tái chế chất thải</v>
          </cell>
          <cell r="G1567" t="str">
            <v>UPCoM</v>
          </cell>
          <cell r="H1567">
            <v>3536222</v>
          </cell>
        </row>
        <row r="1568">
          <cell r="D1568" t="str">
            <v>VLW</v>
          </cell>
          <cell r="E1568" t="str">
            <v>CTCP Cấp nước Vĩnh Long</v>
          </cell>
          <cell r="F1568" t="str">
            <v>Nước, chất thải và các hệ thống khác</v>
          </cell>
          <cell r="G1568" t="str">
            <v>UPCoM</v>
          </cell>
          <cell r="H1568">
            <v>28900000</v>
          </cell>
        </row>
        <row r="1569">
          <cell r="D1569" t="str">
            <v>VMA</v>
          </cell>
          <cell r="E1569" t="str">
            <v>CTCP Công nghiệp Ô tô - Vinacomin</v>
          </cell>
          <cell r="F1569" t="str">
            <v>Sản xuất phương tiện vận tải</v>
          </cell>
          <cell r="G1569" t="str">
            <v>UPCoM</v>
          </cell>
          <cell r="H1569">
            <v>2700000</v>
          </cell>
        </row>
        <row r="1570">
          <cell r="D1570" t="str">
            <v>VMC</v>
          </cell>
          <cell r="E1570" t="str">
            <v>CTCP Vimeco</v>
          </cell>
          <cell r="F1570" t="str">
            <v>Nhà thầu chuyên môn</v>
          </cell>
          <cell r="G1570" t="str">
            <v>HNX</v>
          </cell>
          <cell r="H1570">
            <v>20000000</v>
          </cell>
        </row>
        <row r="1571">
          <cell r="D1571" t="str">
            <v>VMD</v>
          </cell>
          <cell r="E1571" t="str">
            <v>CTCP Y Dược phẩm Vimedimex</v>
          </cell>
          <cell r="F1571" t="str">
            <v>Bán buôn hàng tiêu dùng</v>
          </cell>
          <cell r="G1571" t="str">
            <v>HOSE</v>
          </cell>
          <cell r="H1571">
            <v>15440268</v>
          </cell>
        </row>
        <row r="1572">
          <cell r="D1572" t="str">
            <v>VMG</v>
          </cell>
          <cell r="E1572" t="str">
            <v>CTCP Thương mại và Dịch vụ Dầu khí Vũng Tàu</v>
          </cell>
          <cell r="F1572" t="str">
            <v>Phân phối khí đốt thiên nhiên</v>
          </cell>
          <cell r="G1572" t="str">
            <v>UPCoM</v>
          </cell>
          <cell r="H1572">
            <v>9600000</v>
          </cell>
        </row>
        <row r="1573">
          <cell r="D1573" t="str">
            <v>VMI</v>
          </cell>
          <cell r="E1573" t="str">
            <v>CTCP Khoáng sản và Đầu tư Visaco</v>
          </cell>
          <cell r="F1573" t="str">
            <v>Xây dựng công nghiệp nặng và dân dụng</v>
          </cell>
          <cell r="G1573" t="str">
            <v>UPCoM</v>
          </cell>
          <cell r="H1573">
            <v>10949999</v>
          </cell>
        </row>
        <row r="1574">
          <cell r="D1574" t="str">
            <v>VMS</v>
          </cell>
          <cell r="E1574" t="str">
            <v>CTCP Phát triển Hàng Hải</v>
          </cell>
          <cell r="F1574" t="str">
            <v>Hỗ trợ vận tải</v>
          </cell>
          <cell r="G1574" t="str">
            <v>HNX</v>
          </cell>
          <cell r="H1574">
            <v>9000000</v>
          </cell>
        </row>
        <row r="1575">
          <cell r="D1575" t="str">
            <v>VNA</v>
          </cell>
          <cell r="E1575" t="str">
            <v>CTCP Vận tải Biển Vinaship</v>
          </cell>
          <cell r="F1575" t="str">
            <v>Vận tải đường thủy</v>
          </cell>
          <cell r="G1575" t="str">
            <v>UPCoM</v>
          </cell>
          <cell r="H1575">
            <v>20000000</v>
          </cell>
        </row>
        <row r="1576">
          <cell r="D1576" t="str">
            <v>VNB</v>
          </cell>
          <cell r="E1576" t="str">
            <v>CTCP Sách Việt Nam</v>
          </cell>
          <cell r="F1576" t="str">
            <v>Công nghiệp xuất bản - Ngoại trừ internet</v>
          </cell>
          <cell r="G1576" t="str">
            <v>UPCoM</v>
          </cell>
          <cell r="H1576">
            <v>67909960</v>
          </cell>
        </row>
        <row r="1577">
          <cell r="D1577" t="str">
            <v>VNC</v>
          </cell>
          <cell r="E1577" t="str">
            <v>CTCP Tập đoàn Vinacontrol</v>
          </cell>
          <cell r="F1577" t="str">
            <v>Các dịch vụ chuyên môn, khoa học và kỹ thuật khác</v>
          </cell>
          <cell r="G1577" t="str">
            <v>HNX</v>
          </cell>
          <cell r="H1577">
            <v>10499955</v>
          </cell>
        </row>
        <row r="1578">
          <cell r="D1578" t="str">
            <v>VND</v>
          </cell>
          <cell r="E1578" t="str">
            <v>CTCP Chứng khoán VNDirect</v>
          </cell>
          <cell r="F1578" t="str">
            <v>Môi giới chứng khoán, hàng hóa, đầu tư tài chính khác và các hoạt động liên quan</v>
          </cell>
          <cell r="G1578" t="str">
            <v>HNX</v>
          </cell>
          <cell r="H1578">
            <v>434944687</v>
          </cell>
        </row>
        <row r="1579">
          <cell r="D1579" t="str">
            <v>VNE</v>
          </cell>
          <cell r="E1579" t="str">
            <v>Tổng Công ty cổ phần Xây dựng Điện Việt Nam</v>
          </cell>
          <cell r="F1579" t="str">
            <v>Xây dựng công nghiệp nặng và dân dụng</v>
          </cell>
          <cell r="G1579" t="str">
            <v>HOSE</v>
          </cell>
          <cell r="H1579">
            <v>90432953</v>
          </cell>
        </row>
        <row r="1580">
          <cell r="D1580" t="str">
            <v>VNF</v>
          </cell>
          <cell r="E1580" t="str">
            <v>CTCP Vinafreight</v>
          </cell>
          <cell r="F1580" t="str">
            <v>Hỗ trợ vận tải</v>
          </cell>
          <cell r="G1580" t="str">
            <v>HNX</v>
          </cell>
          <cell r="H1580">
            <v>25145750</v>
          </cell>
        </row>
        <row r="1581">
          <cell r="D1581" t="str">
            <v>VNG</v>
          </cell>
          <cell r="E1581" t="str">
            <v>CTCP Du lịch Thành Thành Công</v>
          </cell>
          <cell r="F1581" t="str">
            <v>Khách sạn và phòng ở</v>
          </cell>
          <cell r="G1581" t="str">
            <v>HOSE</v>
          </cell>
          <cell r="H1581">
            <v>97276608</v>
          </cell>
        </row>
        <row r="1582">
          <cell r="D1582" t="str">
            <v>VNH</v>
          </cell>
          <cell r="E1582" t="str">
            <v>CTCP Đầu tư Việt Việt Nhật</v>
          </cell>
          <cell r="F1582" t="str">
            <v>Sản xuất thực phẩm</v>
          </cell>
          <cell r="G1582" t="str">
            <v>UPCoM</v>
          </cell>
          <cell r="H1582">
            <v>8023071</v>
          </cell>
        </row>
        <row r="1583">
          <cell r="D1583" t="str">
            <v>VNI</v>
          </cell>
          <cell r="E1583" t="str">
            <v>CTCP Đầu tư Bất động sản Việt Nam</v>
          </cell>
          <cell r="F1583" t="str">
            <v>Bất động sản</v>
          </cell>
          <cell r="G1583" t="str">
            <v>UPCoM</v>
          </cell>
          <cell r="H1583">
            <v>10559996</v>
          </cell>
        </row>
        <row r="1584">
          <cell r="D1584" t="str">
            <v>VNL</v>
          </cell>
          <cell r="E1584" t="str">
            <v>CTCP Logistics Vinalink</v>
          </cell>
          <cell r="F1584" t="str">
            <v>Hỗ trợ vận tải</v>
          </cell>
          <cell r="G1584" t="str">
            <v>HOSE</v>
          </cell>
          <cell r="H1584">
            <v>9000000</v>
          </cell>
        </row>
        <row r="1585">
          <cell r="D1585" t="str">
            <v>VNM</v>
          </cell>
          <cell r="E1585" t="str">
            <v>CTCP Sữa Việt Nam</v>
          </cell>
          <cell r="F1585" t="str">
            <v>Sản xuất thực phẩm</v>
          </cell>
          <cell r="G1585" t="str">
            <v>HOSE</v>
          </cell>
          <cell r="H1585">
            <v>2089955445</v>
          </cell>
        </row>
        <row r="1586">
          <cell r="D1586" t="str">
            <v>VNP</v>
          </cell>
          <cell r="E1586" t="str">
            <v>CTCP Nhựa Việt Nam</v>
          </cell>
          <cell r="F1586" t="str">
            <v>Sản xuất các sản phẩm nhựa và cao su</v>
          </cell>
          <cell r="G1586" t="str">
            <v>UPCoM</v>
          </cell>
          <cell r="H1586">
            <v>19428913</v>
          </cell>
        </row>
        <row r="1587">
          <cell r="D1587" t="str">
            <v>VNR</v>
          </cell>
          <cell r="E1587" t="str">
            <v>Tổng Công ty cổ phần Tái Bảo hiểm Quốc gia Việt Nam</v>
          </cell>
          <cell r="F1587" t="str">
            <v>Bảo hiểm và các hoạt động liên quan</v>
          </cell>
          <cell r="G1587" t="str">
            <v>HNX</v>
          </cell>
          <cell r="H1587">
            <v>131075937</v>
          </cell>
        </row>
        <row r="1588">
          <cell r="D1588" t="str">
            <v>VNS</v>
          </cell>
          <cell r="E1588" t="str">
            <v>CTCP Ánh Dương Việt Nam</v>
          </cell>
          <cell r="F1588" t="str">
            <v>Vận tải trung chuyển và vận tải hành khách bằng đường bộ</v>
          </cell>
          <cell r="G1588" t="str">
            <v>HOSE</v>
          </cell>
          <cell r="H1588">
            <v>67859192</v>
          </cell>
        </row>
        <row r="1589">
          <cell r="D1589" t="str">
            <v>VNT</v>
          </cell>
          <cell r="E1589" t="str">
            <v>CTCP Giao nhận Vận tải Ngoại thương</v>
          </cell>
          <cell r="F1589" t="str">
            <v>Hỗ trợ vận tải</v>
          </cell>
          <cell r="G1589" t="str">
            <v>HNX</v>
          </cell>
          <cell r="H1589">
            <v>11949005</v>
          </cell>
        </row>
        <row r="1590">
          <cell r="D1590" t="str">
            <v>VNX</v>
          </cell>
          <cell r="E1590" t="str">
            <v>CTCP Quảng cáo và Hội chợ Thương mại</v>
          </cell>
          <cell r="F1590" t="str">
            <v>Quảng cáo, quan hệ công chúng và dịch vụ liên quan</v>
          </cell>
          <cell r="G1590" t="str">
            <v>UPCoM</v>
          </cell>
          <cell r="H1590">
            <v>1224948</v>
          </cell>
        </row>
        <row r="1591">
          <cell r="D1591" t="str">
            <v>VNY</v>
          </cell>
          <cell r="E1591" t="str">
            <v>CTCP Thuốc thú y Trung ương I</v>
          </cell>
          <cell r="F1591" t="str">
            <v>Sản xuất hóa chất, dược phẩm</v>
          </cell>
          <cell r="G1591" t="str">
            <v>UPCoM</v>
          </cell>
          <cell r="H1591">
            <v>8250000</v>
          </cell>
        </row>
        <row r="1592">
          <cell r="D1592" t="str">
            <v>VOC</v>
          </cell>
          <cell r="E1592" t="str">
            <v>Tổng Công ty Công Nghiệp Dầu Thực Vật Việt Nam - CTCP</v>
          </cell>
          <cell r="F1592" t="str">
            <v>Sản xuất thực phẩm</v>
          </cell>
          <cell r="G1592" t="str">
            <v>UPCoM</v>
          </cell>
          <cell r="H1592">
            <v>121800000</v>
          </cell>
        </row>
        <row r="1593">
          <cell r="D1593" t="str">
            <v>VOS</v>
          </cell>
          <cell r="E1593" t="str">
            <v>CTCP Vận tải Biển Việt Nam</v>
          </cell>
          <cell r="F1593" t="str">
            <v>Vận tải đường thủy</v>
          </cell>
          <cell r="G1593" t="str">
            <v>HOSE</v>
          </cell>
          <cell r="H1593">
            <v>140000000</v>
          </cell>
        </row>
        <row r="1594">
          <cell r="D1594" t="str">
            <v>VPA</v>
          </cell>
          <cell r="E1594" t="str">
            <v>CTCP Vận tải Hoá Dầu VP</v>
          </cell>
          <cell r="F1594" t="str">
            <v>Vận tải đường thủy</v>
          </cell>
          <cell r="G1594" t="str">
            <v>UPCoM</v>
          </cell>
          <cell r="H1594">
            <v>15076177</v>
          </cell>
        </row>
        <row r="1595">
          <cell r="D1595" t="str">
            <v>VPB</v>
          </cell>
          <cell r="E1595" t="str">
            <v>Ngân hàng TMCP Việt Nam Thịnh Vượng</v>
          </cell>
          <cell r="F1595" t="str">
            <v>Trung gian tín dụng và các hoạt động liên quan</v>
          </cell>
          <cell r="G1595" t="str">
            <v>HOSE</v>
          </cell>
          <cell r="H1595">
            <v>2456748366</v>
          </cell>
        </row>
        <row r="1596">
          <cell r="D1596" t="str">
            <v>VPC</v>
          </cell>
          <cell r="E1596" t="str">
            <v>CTCP Đầu tư và Phát triển Năng lượng Việt Nam</v>
          </cell>
          <cell r="F1596" t="str">
            <v>Xây dựng công nghiệp nặng và dân dụng</v>
          </cell>
          <cell r="G1596" t="str">
            <v>UPCoM</v>
          </cell>
          <cell r="H1596">
            <v>5625000</v>
          </cell>
        </row>
        <row r="1597">
          <cell r="D1597" t="str">
            <v>VPD</v>
          </cell>
          <cell r="E1597" t="str">
            <v>CTCP Phát triển Điện lực Việt Nam</v>
          </cell>
          <cell r="F1597" t="str">
            <v>Phát, truyền tải và phân phối điện năng</v>
          </cell>
          <cell r="G1597" t="str">
            <v>HOSE</v>
          </cell>
          <cell r="H1597">
            <v>106589629</v>
          </cell>
        </row>
        <row r="1598">
          <cell r="D1598" t="str">
            <v>VPG</v>
          </cell>
          <cell r="E1598" t="str">
            <v>CTCP Đầu tư Thương mại Xuất nhập khẩu Việt Phát</v>
          </cell>
          <cell r="F1598" t="str">
            <v>Bán buôn hàng lâu bền</v>
          </cell>
          <cell r="G1598" t="str">
            <v>HOSE</v>
          </cell>
          <cell r="H1598">
            <v>43119688</v>
          </cell>
        </row>
        <row r="1599">
          <cell r="D1599" t="str">
            <v>VPH</v>
          </cell>
          <cell r="E1599" t="str">
            <v>CTCP Vạn Phát Hưng</v>
          </cell>
          <cell r="F1599" t="str">
            <v>Phát triển bất động sản</v>
          </cell>
          <cell r="G1599" t="str">
            <v>HOSE</v>
          </cell>
          <cell r="H1599">
            <v>95357800</v>
          </cell>
        </row>
        <row r="1600">
          <cell r="D1600" t="str">
            <v>VPI</v>
          </cell>
          <cell r="E1600" t="str">
            <v>CTCP Đầu tư Văn Phú - INVEST</v>
          </cell>
          <cell r="F1600" t="str">
            <v>Phát triển bất động sản</v>
          </cell>
          <cell r="G1600" t="str">
            <v>HOSE</v>
          </cell>
          <cell r="H1600">
            <v>199999900</v>
          </cell>
        </row>
        <row r="1601">
          <cell r="D1601" t="str">
            <v>VPR</v>
          </cell>
          <cell r="E1601" t="str">
            <v>CTCP VinaPrint</v>
          </cell>
          <cell r="F1601" t="str">
            <v>In ấn và các hoạt động hỗ trợ</v>
          </cell>
          <cell r="G1601" t="str">
            <v>UPCoM</v>
          </cell>
          <cell r="H1601">
            <v>4575985</v>
          </cell>
        </row>
        <row r="1602">
          <cell r="D1602" t="str">
            <v>VPS</v>
          </cell>
          <cell r="E1602" t="str">
            <v>CTCP Thuốc sát trùng Việt Nam (VIPESCO)</v>
          </cell>
          <cell r="F1602" t="str">
            <v>Sản xuất hóa chất, dược phẩm</v>
          </cell>
          <cell r="G1602" t="str">
            <v>HOSE</v>
          </cell>
          <cell r="H1602">
            <v>24460792</v>
          </cell>
        </row>
        <row r="1603">
          <cell r="D1603" t="str">
            <v>VPW</v>
          </cell>
          <cell r="E1603" t="str">
            <v>CTCP Cấp thoát nước Số 1 Vĩnh Phúc</v>
          </cell>
          <cell r="F1603" t="str">
            <v>Nước, chất thải và các hệ thống khác</v>
          </cell>
          <cell r="G1603" t="str">
            <v>UPCoM</v>
          </cell>
          <cell r="H1603">
            <v>11168676</v>
          </cell>
        </row>
        <row r="1604">
          <cell r="D1604" t="str">
            <v>VQC</v>
          </cell>
          <cell r="E1604" t="str">
            <v>CTCP Giám định - Vinacomin</v>
          </cell>
          <cell r="F1604" t="str">
            <v>Dịch vụ nghiên cứu và phát triển khoa học</v>
          </cell>
          <cell r="G1604" t="str">
            <v>UPCoM</v>
          </cell>
          <cell r="H1604">
            <v>3599580</v>
          </cell>
        </row>
        <row r="1605">
          <cell r="D1605" t="str">
            <v>VRC</v>
          </cell>
          <cell r="E1605" t="str">
            <v>CTCP Bất động sản và Đầu tư VRC</v>
          </cell>
          <cell r="F1605" t="str">
            <v>Bất động sản</v>
          </cell>
          <cell r="G1605" t="str">
            <v>HOSE</v>
          </cell>
          <cell r="H1605">
            <v>50000000</v>
          </cell>
        </row>
        <row r="1606">
          <cell r="D1606" t="str">
            <v>VRE</v>
          </cell>
          <cell r="E1606" t="str">
            <v>CTCP Vincom Retail</v>
          </cell>
          <cell r="F1606" t="str">
            <v>Bất động sản</v>
          </cell>
          <cell r="G1606" t="str">
            <v>HOSE</v>
          </cell>
          <cell r="H1606"/>
        </row>
        <row r="1607">
          <cell r="D1607" t="str">
            <v>VRG</v>
          </cell>
          <cell r="E1607" t="str">
            <v>CTCP Phát triển Đô thị và Khu công nghiệp Cao su Việt Nam</v>
          </cell>
          <cell r="F1607" t="str">
            <v>Bất động sản</v>
          </cell>
          <cell r="G1607" t="str">
            <v>UPCoM</v>
          </cell>
          <cell r="H1607">
            <v>25894868</v>
          </cell>
        </row>
        <row r="1608">
          <cell r="D1608" t="str">
            <v>VSA</v>
          </cell>
          <cell r="E1608" t="str">
            <v>CTCP Đại lý Hàng hải Việt Nam</v>
          </cell>
          <cell r="F1608" t="str">
            <v>Hỗ trợ vận tải</v>
          </cell>
          <cell r="G1608" t="str">
            <v>HNX</v>
          </cell>
          <cell r="H1608">
            <v>14096486</v>
          </cell>
        </row>
        <row r="1609">
          <cell r="D1609" t="str">
            <v>VSC</v>
          </cell>
          <cell r="E1609" t="str">
            <v>CTCP Container Việt Nam</v>
          </cell>
          <cell r="F1609" t="str">
            <v>Hỗ trợ vận tải</v>
          </cell>
          <cell r="G1609" t="str">
            <v>HOSE</v>
          </cell>
          <cell r="H1609">
            <v>55122798</v>
          </cell>
        </row>
        <row r="1610">
          <cell r="D1610" t="str">
            <v>VSE</v>
          </cell>
          <cell r="E1610" t="str">
            <v>CTCP Dịch vụ Đường cao tốc Việt Nam</v>
          </cell>
          <cell r="F1610" t="str">
            <v>Xây dựng công nghiệp nặng và dân dụng</v>
          </cell>
          <cell r="G1610" t="str">
            <v>UPCoM</v>
          </cell>
          <cell r="H1610">
            <v>8937250</v>
          </cell>
        </row>
        <row r="1611">
          <cell r="D1611" t="str">
            <v>VSF</v>
          </cell>
          <cell r="E1611" t="str">
            <v>Tổng Công ty Lương thực Miền Nam - CTCP</v>
          </cell>
          <cell r="F1611" t="str">
            <v>Sản xuất thực phẩm</v>
          </cell>
          <cell r="G1611" t="str">
            <v>UPCoM</v>
          </cell>
          <cell r="H1611">
            <v>500000000</v>
          </cell>
        </row>
        <row r="1612">
          <cell r="D1612" t="str">
            <v>VSG</v>
          </cell>
          <cell r="E1612" t="str">
            <v>CTCP Container Phía Nam</v>
          </cell>
          <cell r="F1612" t="str">
            <v>Vận tải đường thủy</v>
          </cell>
          <cell r="G1612" t="str">
            <v>UPCoM</v>
          </cell>
          <cell r="H1612">
            <v>11044000</v>
          </cell>
        </row>
        <row r="1613">
          <cell r="D1613" t="str">
            <v>VSH</v>
          </cell>
          <cell r="E1613" t="str">
            <v>CTCP Thủy điện Vĩnh Sơn - Sông Hinh</v>
          </cell>
          <cell r="F1613" t="str">
            <v>Phát, truyền tải và phân phối điện năng</v>
          </cell>
          <cell r="G1613" t="str">
            <v>HOSE</v>
          </cell>
          <cell r="H1613">
            <v>236241246</v>
          </cell>
        </row>
        <row r="1614">
          <cell r="D1614" t="str">
            <v>VSI</v>
          </cell>
          <cell r="E1614" t="str">
            <v>CTCP Đầu tư và Xây dựng Cấp thoát nước</v>
          </cell>
          <cell r="F1614" t="str">
            <v>Xây dựng công nghiệp nặng và dân dụng</v>
          </cell>
          <cell r="G1614" t="str">
            <v>HOSE</v>
          </cell>
          <cell r="H1614">
            <v>13200000</v>
          </cell>
        </row>
        <row r="1615">
          <cell r="D1615" t="str">
            <v>VSM</v>
          </cell>
          <cell r="E1615" t="str">
            <v>CTCP Container Miền Trung</v>
          </cell>
          <cell r="F1615" t="str">
            <v>Vận tải đường bộ</v>
          </cell>
          <cell r="G1615" t="str">
            <v>HNX</v>
          </cell>
          <cell r="H1615">
            <v>3050000</v>
          </cell>
        </row>
        <row r="1616">
          <cell r="D1616" t="str">
            <v>VSN</v>
          </cell>
          <cell r="E1616" t="str">
            <v>CTCP Việt Nam Kỹ nghệ Súc sản</v>
          </cell>
          <cell r="F1616" t="str">
            <v>Sản xuất thực phẩm</v>
          </cell>
          <cell r="G1616" t="str">
            <v>UPCoM</v>
          </cell>
          <cell r="H1616">
            <v>80914300</v>
          </cell>
        </row>
        <row r="1617">
          <cell r="D1617" t="str">
            <v>VSP</v>
          </cell>
          <cell r="E1617" t="str">
            <v>CTCP Vận tải biển và Bất động sản Việt Hải</v>
          </cell>
          <cell r="F1617" t="str">
            <v>Vận tải đường thủy</v>
          </cell>
          <cell r="G1617" t="str">
            <v>UPCoM</v>
          </cell>
          <cell r="H1617">
            <v>38084489</v>
          </cell>
        </row>
        <row r="1618">
          <cell r="D1618" t="str">
            <v>VST</v>
          </cell>
          <cell r="E1618" t="str">
            <v>CTCP Vận tải và Thuê tàu biển Việt Nam</v>
          </cell>
          <cell r="F1618" t="str">
            <v>Vận tải đường thủy</v>
          </cell>
          <cell r="G1618" t="str">
            <v>UPCoM</v>
          </cell>
          <cell r="H1618">
            <v>62999337</v>
          </cell>
        </row>
        <row r="1619">
          <cell r="D1619" t="str">
            <v>VTA</v>
          </cell>
          <cell r="E1619" t="str">
            <v>CTCP Vitaly</v>
          </cell>
          <cell r="F1619" t="str">
            <v>Sản xuất sản phẩm khoáng chất phi kim</v>
          </cell>
          <cell r="G1619" t="str">
            <v>UPCoM</v>
          </cell>
          <cell r="H1619">
            <v>8000000</v>
          </cell>
        </row>
        <row r="1620">
          <cell r="D1620" t="str">
            <v>VTB</v>
          </cell>
          <cell r="E1620" t="str">
            <v>CTCP Viettronics Tân Bình</v>
          </cell>
          <cell r="F1620" t="str">
            <v>Sản xuất các sản phẩm điện tử, vi tính</v>
          </cell>
          <cell r="G1620" t="str">
            <v>HOSE</v>
          </cell>
          <cell r="H1620">
            <v>11982050</v>
          </cell>
        </row>
        <row r="1621">
          <cell r="D1621" t="str">
            <v>VTC</v>
          </cell>
          <cell r="E1621" t="str">
            <v>CTCP Viễn thông VTC</v>
          </cell>
          <cell r="F1621" t="str">
            <v>Viễn thông</v>
          </cell>
          <cell r="G1621" t="str">
            <v>HNX</v>
          </cell>
          <cell r="H1621">
            <v>4534696</v>
          </cell>
        </row>
        <row r="1622">
          <cell r="D1622" t="str">
            <v>VTD</v>
          </cell>
          <cell r="E1622" t="str">
            <v>CTCP Du lịch Vietourist</v>
          </cell>
          <cell r="F1622" t="str">
            <v>Dịch vụ hành chính và hỗ trợ</v>
          </cell>
          <cell r="G1622" t="str">
            <v>UPCoM</v>
          </cell>
          <cell r="H1622">
            <v>6000000</v>
          </cell>
        </row>
        <row r="1623">
          <cell r="D1623" t="str">
            <v>VTE</v>
          </cell>
          <cell r="E1623" t="str">
            <v>CTCP Viễn thông Điện tử VINACAP</v>
          </cell>
          <cell r="F1623" t="str">
            <v>Sản xuất các sản phẩm điện tử, vi tính</v>
          </cell>
          <cell r="G1623" t="str">
            <v>UPCoM</v>
          </cell>
          <cell r="H1623">
            <v>15600000</v>
          </cell>
        </row>
        <row r="1624">
          <cell r="D1624" t="str">
            <v>VTG</v>
          </cell>
          <cell r="E1624" t="str">
            <v>CTCP Du lịch Tỉnh Bà Rịa - Vũng Tàu</v>
          </cell>
          <cell r="F1624" t="str">
            <v>Khách sạn và phòng ở</v>
          </cell>
          <cell r="G1624" t="str">
            <v>UPCoM</v>
          </cell>
          <cell r="H1624">
            <v>18644500</v>
          </cell>
        </row>
        <row r="1625">
          <cell r="D1625" t="str">
            <v>VTH</v>
          </cell>
          <cell r="E1625" t="str">
            <v>CTCP Dây cáp Điện Việt Thái</v>
          </cell>
          <cell r="F1625" t="str">
            <v>Sản xuất trang thiết bị, dụng cụ điện</v>
          </cell>
          <cell r="G1625" t="str">
            <v>HNX</v>
          </cell>
          <cell r="H1625">
            <v>5000000</v>
          </cell>
        </row>
        <row r="1626">
          <cell r="D1626" t="str">
            <v>VTI</v>
          </cell>
          <cell r="E1626" t="str">
            <v>CTCP Sản xuất - Xuất nhập khẩu Dệt may</v>
          </cell>
          <cell r="F1626" t="str">
            <v>Sản xuất sợi, vải</v>
          </cell>
          <cell r="G1626" t="str">
            <v>UPCoM</v>
          </cell>
          <cell r="H1626">
            <v>3500000</v>
          </cell>
        </row>
        <row r="1627">
          <cell r="D1627" t="str">
            <v>VTJ</v>
          </cell>
          <cell r="E1627" t="str">
            <v>CTCP Thương mại và Đầu tư VI NA TA BA</v>
          </cell>
          <cell r="F1627" t="str">
            <v>Cửa hàng đồ nội thất và đồ dùng gia đình</v>
          </cell>
          <cell r="G1627" t="str">
            <v>HNX</v>
          </cell>
          <cell r="H1627">
            <v>11400000</v>
          </cell>
        </row>
        <row r="1628">
          <cell r="D1628" t="str">
            <v>VTK</v>
          </cell>
          <cell r="E1628" t="str">
            <v>CTCP Tư vấn Thiết kế Viettel</v>
          </cell>
          <cell r="F1628" t="str">
            <v>Kiến trúc, tư vấn xây dựng và dịch vụ liên quan</v>
          </cell>
          <cell r="G1628" t="str">
            <v>UPCoM</v>
          </cell>
          <cell r="H1628">
            <v>4159905</v>
          </cell>
        </row>
        <row r="1629">
          <cell r="D1629" t="str">
            <v>VTL</v>
          </cell>
          <cell r="E1629" t="str">
            <v>CTCP Vang Thăng Long</v>
          </cell>
          <cell r="F1629" t="str">
            <v>Sản xuất đồ uống và thuốc lá</v>
          </cell>
          <cell r="G1629" t="str">
            <v>HNX</v>
          </cell>
          <cell r="H1629">
            <v>5059992</v>
          </cell>
        </row>
        <row r="1630">
          <cell r="D1630" t="str">
            <v>VTM</v>
          </cell>
          <cell r="E1630" t="str">
            <v>CTCP Vận tải và Đưa đón thợ mỏ - VINACOMIN</v>
          </cell>
          <cell r="F1630" t="str">
            <v>Vận tải trung chuyển và vận tải hành khách bằng đường bộ</v>
          </cell>
          <cell r="G1630" t="str">
            <v>UPCoM</v>
          </cell>
          <cell r="H1630">
            <v>3279797</v>
          </cell>
        </row>
        <row r="1631">
          <cell r="D1631" t="str">
            <v>VTO</v>
          </cell>
          <cell r="E1631" t="str">
            <v>CTCP Vận tải Xăng dầu Vitaco</v>
          </cell>
          <cell r="F1631" t="str">
            <v>Vận tải đường thủy</v>
          </cell>
          <cell r="G1631" t="str">
            <v>HOSE</v>
          </cell>
          <cell r="H1631">
            <v>79866666</v>
          </cell>
        </row>
        <row r="1632">
          <cell r="D1632" t="str">
            <v>VTP</v>
          </cell>
          <cell r="E1632" t="str">
            <v>Tổng Công ty cổ phần Bưu chính Viettel</v>
          </cell>
          <cell r="F1632" t="str">
            <v>Hỗ trợ vận tải</v>
          </cell>
          <cell r="G1632" t="str">
            <v>UPCoM</v>
          </cell>
          <cell r="H1632">
            <v>103558492</v>
          </cell>
        </row>
        <row r="1633">
          <cell r="D1633" t="str">
            <v>VTQ</v>
          </cell>
          <cell r="E1633" t="str">
            <v>CTCP Việt Trung Quảng Bình</v>
          </cell>
          <cell r="F1633" t="str">
            <v>Sản xuất hóa chất, dược phẩm</v>
          </cell>
          <cell r="G1633" t="str">
            <v>UPCoM</v>
          </cell>
          <cell r="H1633">
            <v>17081791</v>
          </cell>
        </row>
        <row r="1634">
          <cell r="D1634" t="str">
            <v>VTR</v>
          </cell>
          <cell r="E1634" t="str">
            <v>CTCP Du lịch và Tiếp thị Giao thông Vận tải Việt Nam - Vietravel</v>
          </cell>
          <cell r="F1634" t="str">
            <v>Dịch vụ hành chính và hỗ trợ</v>
          </cell>
          <cell r="G1634" t="str">
            <v>UPCoM</v>
          </cell>
          <cell r="H1634">
            <v>17294833</v>
          </cell>
        </row>
        <row r="1635">
          <cell r="D1635" t="str">
            <v>VTS</v>
          </cell>
          <cell r="E1635" t="str">
            <v>CTCP Viglacera Từ Sơn</v>
          </cell>
          <cell r="F1635" t="str">
            <v>Sản xuất sản phẩm khoáng chất phi kim</v>
          </cell>
          <cell r="G1635" t="str">
            <v>UPCoM</v>
          </cell>
          <cell r="H1635">
            <v>2000205</v>
          </cell>
        </row>
        <row r="1636">
          <cell r="D1636" t="str">
            <v>VTV</v>
          </cell>
          <cell r="E1636" t="str">
            <v>CTCP Năng lượng và Môi trường VICEM</v>
          </cell>
          <cell r="F1636" t="str">
            <v>Bán buôn hàng lâu bền</v>
          </cell>
          <cell r="G1636" t="str">
            <v>HNX</v>
          </cell>
          <cell r="H1636">
            <v>31199825</v>
          </cell>
        </row>
        <row r="1637">
          <cell r="D1637" t="str">
            <v>VTX</v>
          </cell>
          <cell r="E1637" t="str">
            <v>CTCP Vận tải Đa Phương Thức Vietranstimex</v>
          </cell>
          <cell r="F1637" t="str">
            <v>Hỗ trợ vận tải</v>
          </cell>
          <cell r="G1637" t="str">
            <v>UPCoM</v>
          </cell>
          <cell r="H1637">
            <v>20972321</v>
          </cell>
        </row>
        <row r="1638">
          <cell r="D1638" t="str">
            <v>VVN</v>
          </cell>
          <cell r="E1638" t="str">
            <v>Tổng Công ty cổ phần Xây dựng Công nghiệp Việt Nam</v>
          </cell>
          <cell r="F1638" t="str">
            <v>Xây dựng công nghiệp nặng và dân dụng</v>
          </cell>
          <cell r="G1638" t="str">
            <v>UPCoM</v>
          </cell>
          <cell r="H1638">
            <v>55000000</v>
          </cell>
        </row>
        <row r="1639">
          <cell r="D1639" t="str">
            <v>VW3</v>
          </cell>
          <cell r="E1639" t="str">
            <v>CTCP Viwaseen3</v>
          </cell>
          <cell r="F1639" t="str">
            <v>Xây dựng công nghiệp nặng và dân dụng</v>
          </cell>
          <cell r="G1639" t="str">
            <v>UPCoM</v>
          </cell>
          <cell r="H1639">
            <v>2000000</v>
          </cell>
        </row>
        <row r="1640">
          <cell r="D1640" t="str">
            <v>VWS</v>
          </cell>
          <cell r="E1640" t="str">
            <v>CTCP Nước và Môi Trường Việt Nam</v>
          </cell>
          <cell r="F1640" t="str">
            <v>Kiến trúc, tư vấn xây dựng và dịch vụ liên quan</v>
          </cell>
          <cell r="G1640" t="str">
            <v>UPCoM</v>
          </cell>
          <cell r="H1640">
            <v>3600000</v>
          </cell>
        </row>
        <row r="1641">
          <cell r="D1641" t="str">
            <v>VXB</v>
          </cell>
          <cell r="E1641" t="str">
            <v>CTCP Vật liệu Xây dựng Bến Tre</v>
          </cell>
          <cell r="F1641" t="str">
            <v>Xây dựng nhà cửa, cao ốc</v>
          </cell>
          <cell r="G1641" t="str">
            <v>HNX</v>
          </cell>
          <cell r="H1641">
            <v>4049006</v>
          </cell>
        </row>
        <row r="1642">
          <cell r="D1642" t="str">
            <v>VXP</v>
          </cell>
          <cell r="E1642" t="str">
            <v>CTCP Thuốc Thú y Trung ương VETVACO</v>
          </cell>
          <cell r="F1642" t="str">
            <v>Sản xuất hóa chất, dược phẩm</v>
          </cell>
          <cell r="G1642" t="str">
            <v>UPCoM</v>
          </cell>
          <cell r="H1642">
            <v>3600000</v>
          </cell>
        </row>
        <row r="1643">
          <cell r="D1643" t="str">
            <v>VXT</v>
          </cell>
          <cell r="E1643" t="str">
            <v>CTCP Kho vận và Dịch vụ Thương mại</v>
          </cell>
          <cell r="F1643" t="str">
            <v>Bán buôn hàng tiêu dùng</v>
          </cell>
          <cell r="G1643" t="str">
            <v>UPCoM</v>
          </cell>
          <cell r="H1643">
            <v>3600000</v>
          </cell>
        </row>
        <row r="1644">
          <cell r="D1644" t="str">
            <v>WCS</v>
          </cell>
          <cell r="E1644" t="str">
            <v>CTCP Bến xe Miền Tây</v>
          </cell>
          <cell r="F1644" t="str">
            <v>Hỗ trợ vận tải</v>
          </cell>
          <cell r="G1644" t="str">
            <v>HNX</v>
          </cell>
          <cell r="H1644">
            <v>2500000</v>
          </cell>
        </row>
        <row r="1645">
          <cell r="D1645" t="str">
            <v>WSB</v>
          </cell>
          <cell r="E1645" t="str">
            <v>CTCP Bia Sài Gòn - Miền Tây</v>
          </cell>
          <cell r="F1645" t="str">
            <v>Sản xuất đồ uống và thuốc lá</v>
          </cell>
          <cell r="G1645" t="str">
            <v>UPCoM</v>
          </cell>
          <cell r="H1645">
            <v>14500000</v>
          </cell>
        </row>
        <row r="1646">
          <cell r="D1646" t="str">
            <v>WSS</v>
          </cell>
          <cell r="E1646" t="str">
            <v>CTCP Chứng khoán Phố Wall</v>
          </cell>
          <cell r="F1646" t="str">
            <v>Môi giới chứng khoán, hàng hóa, đầu tư tài chính khác và các hoạt động liên quan</v>
          </cell>
          <cell r="G1646" t="str">
            <v>HNX</v>
          </cell>
          <cell r="H1646">
            <v>50300000</v>
          </cell>
        </row>
        <row r="1647">
          <cell r="D1647" t="str">
            <v>WTC</v>
          </cell>
          <cell r="E1647" t="str">
            <v>CTCP Vận tải Thủy - Vinacomin</v>
          </cell>
          <cell r="F1647" t="str">
            <v>Vận tải đường thủy</v>
          </cell>
          <cell r="G1647" t="str">
            <v>UPCoM</v>
          </cell>
          <cell r="H1647">
            <v>10000000</v>
          </cell>
        </row>
        <row r="1648">
          <cell r="D1648" t="str">
            <v>X20</v>
          </cell>
          <cell r="E1648" t="str">
            <v>CTCP X20</v>
          </cell>
          <cell r="F1648" t="str">
            <v>Sản xuất các sản phẩm may mặc</v>
          </cell>
          <cell r="G1648" t="str">
            <v>HNX</v>
          </cell>
          <cell r="H1648">
            <v>17250000</v>
          </cell>
        </row>
        <row r="1649">
          <cell r="D1649" t="str">
            <v>X26</v>
          </cell>
          <cell r="E1649" t="str">
            <v>CTCP 26</v>
          </cell>
          <cell r="F1649" t="str">
            <v>Sản xuất các sản phẩm may mặc</v>
          </cell>
          <cell r="G1649" t="str">
            <v>UPCoM</v>
          </cell>
          <cell r="H1649">
            <v>5000000</v>
          </cell>
        </row>
        <row r="1650">
          <cell r="D1650" t="str">
            <v>X77</v>
          </cell>
          <cell r="E1650" t="str">
            <v>CTCP Thành An 77</v>
          </cell>
          <cell r="F1650" t="str">
            <v>Sản xuất sản phẩm khoáng chất phi kim</v>
          </cell>
          <cell r="G1650" t="str">
            <v>UPCoM</v>
          </cell>
          <cell r="H1650">
            <v>1340877</v>
          </cell>
        </row>
        <row r="1651">
          <cell r="D1651" t="str">
            <v>XDH</v>
          </cell>
          <cell r="E1651" t="str">
            <v>CTCP Đầu tư Xây dựng Dân dụng Hà Nội</v>
          </cell>
          <cell r="F1651" t="str">
            <v>Phát triển bất động sản</v>
          </cell>
          <cell r="G1651" t="str">
            <v>UPCoM</v>
          </cell>
          <cell r="H1651">
            <v>10920000</v>
          </cell>
        </row>
        <row r="1652">
          <cell r="D1652" t="str">
            <v>XHC</v>
          </cell>
          <cell r="E1652" t="str">
            <v>CTCP Xuân Hòa Việt Nam</v>
          </cell>
          <cell r="F1652" t="str">
            <v>Sản xuất các sản phẩm gỗ</v>
          </cell>
          <cell r="G1652" t="str">
            <v>UPCoM</v>
          </cell>
          <cell r="H1652">
            <v>21096500</v>
          </cell>
        </row>
        <row r="1653">
          <cell r="D1653" t="str">
            <v>XLV</v>
          </cell>
          <cell r="E1653" t="str">
            <v>CTCP Xây Lắp và Dịch vụ Sông Đà</v>
          </cell>
          <cell r="F1653" t="str">
            <v>Xây dựng công nghiệp nặng và dân dụng</v>
          </cell>
          <cell r="G1653" t="str">
            <v>UPCoM</v>
          </cell>
          <cell r="H1653">
            <v>3000000</v>
          </cell>
        </row>
        <row r="1654">
          <cell r="D1654" t="str">
            <v>XMC</v>
          </cell>
          <cell r="E1654" t="str">
            <v>CTCP Đầu tư và Xây dựng Xuân Mai</v>
          </cell>
          <cell r="F1654" t="str">
            <v>Bất động sản</v>
          </cell>
          <cell r="G1654" t="str">
            <v>UPCoM</v>
          </cell>
          <cell r="H1654">
            <v>67364339</v>
          </cell>
        </row>
        <row r="1655">
          <cell r="D1655" t="str">
            <v>XMD</v>
          </cell>
          <cell r="E1655" t="str">
            <v>CTCP Xuân Mai - Đạo Tú</v>
          </cell>
          <cell r="F1655" t="str">
            <v>Sản xuất sản phẩm khoáng chất phi kim</v>
          </cell>
          <cell r="G1655" t="str">
            <v>UPCoM</v>
          </cell>
          <cell r="H1655">
            <v>4000000</v>
          </cell>
        </row>
        <row r="1656">
          <cell r="D1656" t="str">
            <v>XMP</v>
          </cell>
          <cell r="E1656" t="str">
            <v>CTCP Thủy điện Xuân Minh</v>
          </cell>
          <cell r="F1656" t="str">
            <v>Phát, truyền tải và phân phối điện năng</v>
          </cell>
          <cell r="G1656" t="str">
            <v>UPCoM</v>
          </cell>
          <cell r="H1656"/>
        </row>
        <row r="1657">
          <cell r="D1657" t="str">
            <v>XPH</v>
          </cell>
          <cell r="E1657" t="str">
            <v>CTCP Xà phòng Hà Nội</v>
          </cell>
          <cell r="F1657" t="str">
            <v>Sản xuất hóa chất, dược phẩm</v>
          </cell>
          <cell r="G1657" t="str">
            <v>UPCoM</v>
          </cell>
          <cell r="H1657">
            <v>12972475</v>
          </cell>
        </row>
        <row r="1658">
          <cell r="D1658" t="str">
            <v>YBC</v>
          </cell>
          <cell r="E1658" t="str">
            <v>CTCP Xi măng và Khoáng sản Yên Bái</v>
          </cell>
          <cell r="F1658" t="str">
            <v>Sản xuất sản phẩm khoáng chất phi kim</v>
          </cell>
          <cell r="G1658" t="str">
            <v>UPCoM</v>
          </cell>
          <cell r="H1658">
            <v>11800000</v>
          </cell>
        </row>
        <row r="1659">
          <cell r="D1659" t="str">
            <v>YBM</v>
          </cell>
          <cell r="E1659" t="str">
            <v>CTCP Khoáng sản Công nghiệp Yên Bái</v>
          </cell>
          <cell r="F1659" t="str">
            <v>Sản xuất sản phẩm khoáng chất phi kim</v>
          </cell>
          <cell r="G1659" t="str">
            <v>HOSE</v>
          </cell>
          <cell r="H1659">
            <v>14299880</v>
          </cell>
        </row>
        <row r="1660">
          <cell r="D1660" t="str">
            <v>YEG</v>
          </cell>
          <cell r="E1660" t="str">
            <v>CTCP Tập đoàn Yeah1</v>
          </cell>
          <cell r="F1660" t="str">
            <v>Quảng cáo, quan hệ công chúng và dịch vụ liên quan</v>
          </cell>
          <cell r="G1660" t="str">
            <v>HOSE</v>
          </cell>
          <cell r="H1660">
            <v>31279968</v>
          </cell>
        </row>
        <row r="1661">
          <cell r="D1661" t="str">
            <v>YTC</v>
          </cell>
          <cell r="E1661" t="str">
            <v>CTCP Xuất nhập khẩu Y tế Thành phố Hồ Chí Minh</v>
          </cell>
          <cell r="F1661" t="str">
            <v>Bán buôn hàng tiêu dùng</v>
          </cell>
          <cell r="G1661" t="str">
            <v>UPCoM</v>
          </cell>
          <cell r="H1661">
            <v>3080000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D270-9256-5445-A3D6-0368DC275F9F}">
  <dimension ref="A1:R86"/>
  <sheetViews>
    <sheetView tabSelected="1" topLeftCell="C2" workbookViewId="0">
      <selection activeCell="L12" sqref="L12"/>
    </sheetView>
  </sheetViews>
  <sheetFormatPr baseColWidth="10" defaultColWidth="9.1640625" defaultRowHeight="14" x14ac:dyDescent="0.2"/>
  <cols>
    <col min="1" max="1" width="9.1640625" style="2"/>
    <col min="2" max="2" width="38.5" style="2" customWidth="1"/>
    <col min="3" max="6" width="14.6640625" style="2" customWidth="1"/>
    <col min="7" max="7" width="16.83203125" style="2" customWidth="1"/>
    <col min="8" max="9" width="14.6640625" style="2" customWidth="1"/>
    <col min="10" max="10" width="14.1640625" style="2" customWidth="1"/>
    <col min="11" max="11" width="15.6640625" style="2" customWidth="1"/>
    <col min="12" max="12" width="15.33203125" style="2" customWidth="1"/>
    <col min="13" max="14" width="14.6640625" style="2" customWidth="1"/>
    <col min="15" max="15" width="13.1640625" style="2" customWidth="1"/>
    <col min="16" max="16" width="14.6640625" style="2" customWidth="1"/>
    <col min="17" max="17" width="14.1640625" style="2" customWidth="1"/>
    <col min="18" max="18" width="15.5" style="2" customWidth="1"/>
    <col min="19" max="16384" width="9.1640625" style="2"/>
  </cols>
  <sheetData>
    <row r="1" spans="1:15" ht="18.75" customHeight="1" x14ac:dyDescent="0.2">
      <c r="A1" s="1"/>
      <c r="B1" s="158"/>
      <c r="C1" s="158"/>
      <c r="D1" s="158"/>
    </row>
    <row r="2" spans="1:15" ht="18.75" customHeight="1" x14ac:dyDescent="0.2">
      <c r="B2" s="3"/>
      <c r="C2" s="4"/>
      <c r="D2" s="159" t="s">
        <v>0</v>
      </c>
      <c r="E2" s="159"/>
      <c r="F2" s="159"/>
      <c r="G2" s="159"/>
      <c r="H2" s="5" t="s">
        <v>1</v>
      </c>
      <c r="I2" s="6" t="s">
        <v>2</v>
      </c>
      <c r="J2" s="7">
        <f ca="1">TODAY()</f>
        <v>46047</v>
      </c>
    </row>
    <row r="3" spans="1:15" ht="18.75" customHeight="1" x14ac:dyDescent="0.2">
      <c r="B3" s="158"/>
      <c r="C3" s="158"/>
      <c r="D3" s="158"/>
    </row>
    <row r="4" spans="1:15" ht="30" x14ac:dyDescent="0.2">
      <c r="B4" s="8" t="str">
        <f>H2</f>
        <v>DPM</v>
      </c>
      <c r="C4" s="160" t="str">
        <f>VLOOKUP($B$4,[1]Sheet5!$D$7:$H$1661,4,0)</f>
        <v>HOSE</v>
      </c>
      <c r="D4" s="161" t="s">
        <v>3</v>
      </c>
      <c r="E4" s="162" t="str">
        <f>IF($J$5&gt;10%,"CỔ PHIẾU CÒN TIỀM NĂNG",IF($J$5&gt;7%,"CỔ PHIẾU ÍT HẤP DẪN+THEO DÕI THÊM","LỢI NHUẬN ĐÃ PHẢN ÁNH VÀO GIÁ+THEO DÕI THÊM"))</f>
        <v>LỢI NHUẬN ĐÃ PHẢN ÁNH VÀO GIÁ+THEO DÕI THÊM</v>
      </c>
      <c r="F4" s="163"/>
      <c r="G4" s="163"/>
      <c r="H4" s="163"/>
      <c r="I4" s="9" t="s">
        <v>4</v>
      </c>
      <c r="J4" s="10">
        <f>J39</f>
        <v>0</v>
      </c>
      <c r="K4" s="11" t="s">
        <v>5</v>
      </c>
      <c r="L4"/>
      <c r="M4" s="12"/>
    </row>
    <row r="5" spans="1:15" ht="26.25" customHeight="1" x14ac:dyDescent="0.2">
      <c r="B5" s="13" t="str">
        <f>VLOOKUP($B$4,[1]Sheet5!$D$7:$H$1661,2,0)</f>
        <v>Tổng Công ty Phân bón và Hóa chất Dầu khí - CTCP</v>
      </c>
      <c r="C5" s="160"/>
      <c r="D5" s="161"/>
      <c r="E5" s="162"/>
      <c r="F5" s="163"/>
      <c r="G5" s="163"/>
      <c r="H5" s="163"/>
      <c r="I5" s="14" t="s">
        <v>6</v>
      </c>
      <c r="J5" s="15">
        <f>J4/N9-1</f>
        <v>-1</v>
      </c>
      <c r="K5" s="11" t="s">
        <v>7</v>
      </c>
      <c r="L5"/>
    </row>
    <row r="6" spans="1:15" x14ac:dyDescent="0.2">
      <c r="L6" s="16"/>
    </row>
    <row r="7" spans="1:15" ht="46.5" customHeight="1" x14ac:dyDescent="0.2">
      <c r="B7" s="17" t="s">
        <v>8</v>
      </c>
      <c r="C7" s="18" t="s">
        <v>9</v>
      </c>
      <c r="D7" s="18" t="s">
        <v>10</v>
      </c>
      <c r="E7" s="19" t="s">
        <v>11</v>
      </c>
      <c r="F7" s="20" t="s">
        <v>12</v>
      </c>
      <c r="G7" s="20" t="s">
        <v>13</v>
      </c>
      <c r="H7" s="21" t="s">
        <v>14</v>
      </c>
      <c r="L7" s="22" t="s">
        <v>15</v>
      </c>
      <c r="M7" s="23"/>
      <c r="N7" s="24" t="str">
        <f>VLOOKUP($B$4,[1]Sheet5!$D$7:$H$1661,3,0)</f>
        <v>Sản xuất hóa chất, dược phẩm</v>
      </c>
    </row>
    <row r="8" spans="1:15" ht="15" x14ac:dyDescent="0.2">
      <c r="B8" s="25" t="s">
        <v>16</v>
      </c>
      <c r="C8" s="26">
        <v>9297112</v>
      </c>
      <c r="D8" s="26">
        <v>7683541</v>
      </c>
      <c r="E8" s="26">
        <v>7761819</v>
      </c>
      <c r="F8" s="27">
        <f>SUM(G20:J20)</f>
        <v>12786141</v>
      </c>
      <c r="G8" s="28">
        <v>18627180</v>
      </c>
      <c r="H8" s="28">
        <f>SUM(L20:O20)</f>
        <v>20375912.600000001</v>
      </c>
      <c r="L8" s="29" t="s">
        <v>48</v>
      </c>
      <c r="M8" s="30"/>
      <c r="N8" s="31">
        <v>300000000</v>
      </c>
    </row>
    <row r="9" spans="1:15" ht="16" x14ac:dyDescent="0.2">
      <c r="B9" s="32" t="s">
        <v>17</v>
      </c>
      <c r="C9" s="33">
        <v>699593</v>
      </c>
      <c r="D9" s="33">
        <v>377703</v>
      </c>
      <c r="E9" s="33">
        <v>691308</v>
      </c>
      <c r="F9" s="34">
        <f>SUM(G23:J23)</f>
        <v>3116763</v>
      </c>
      <c r="G9" s="35">
        <v>5586163</v>
      </c>
      <c r="H9" s="35">
        <f>SUM(L23:O23)</f>
        <v>5538336</v>
      </c>
      <c r="L9" s="36" t="s">
        <v>49</v>
      </c>
      <c r="M9" s="37"/>
      <c r="N9" s="38">
        <v>51000</v>
      </c>
      <c r="O9"/>
    </row>
    <row r="10" spans="1:15" ht="16" x14ac:dyDescent="0.2">
      <c r="B10" s="32" t="s">
        <v>18</v>
      </c>
      <c r="C10" s="39">
        <f t="shared" ref="C10:H10" si="0">C9/C8</f>
        <v>7.5248421230162663E-2</v>
      </c>
      <c r="D10" s="39">
        <f t="shared" si="0"/>
        <v>4.9157413229134847E-2</v>
      </c>
      <c r="E10" s="39">
        <f t="shared" si="0"/>
        <v>8.9065204947448531E-2</v>
      </c>
      <c r="F10" s="40">
        <f t="shared" si="0"/>
        <v>0.24376103782994415</v>
      </c>
      <c r="G10" s="41">
        <f t="shared" si="0"/>
        <v>0.29989311318192019</v>
      </c>
      <c r="H10" s="41">
        <f t="shared" si="0"/>
        <v>0.27180799744890932</v>
      </c>
      <c r="L10" s="36" t="s">
        <v>19</v>
      </c>
      <c r="M10" s="42"/>
      <c r="N10" s="43">
        <v>0.3</v>
      </c>
      <c r="O10"/>
    </row>
    <row r="11" spans="1:15" ht="16" x14ac:dyDescent="0.2">
      <c r="B11" s="32" t="s">
        <v>20</v>
      </c>
      <c r="C11" s="33">
        <v>1788</v>
      </c>
      <c r="D11" s="33">
        <v>965</v>
      </c>
      <c r="E11" s="33">
        <v>1767</v>
      </c>
      <c r="F11" s="44">
        <f>SUM(G26:J26)</f>
        <v>7964.4521795766104</v>
      </c>
      <c r="G11" s="45">
        <f>SUM(H26:K26)</f>
        <v>12930.28369149177</v>
      </c>
      <c r="H11" s="45">
        <f>SUM(I26:L26)</f>
        <v>14451.244314770704</v>
      </c>
      <c r="L11" s="46" t="s">
        <v>21</v>
      </c>
      <c r="N11" s="48">
        <v>0.25</v>
      </c>
      <c r="O11"/>
    </row>
    <row r="12" spans="1:15" ht="16" x14ac:dyDescent="0.2">
      <c r="B12" s="32" t="s">
        <v>22</v>
      </c>
      <c r="C12" s="49">
        <v>12.47</v>
      </c>
      <c r="D12" s="49">
        <v>13.42</v>
      </c>
      <c r="E12" s="49">
        <v>10.64</v>
      </c>
      <c r="F12" s="50">
        <v>6.28</v>
      </c>
      <c r="G12" s="51">
        <f>N9/G11*10^3</f>
        <v>3944.2290066348974</v>
      </c>
      <c r="H12" s="51">
        <f>O9/H11*10^3</f>
        <v>0</v>
      </c>
      <c r="L12" s="52"/>
      <c r="M12" s="47"/>
      <c r="N12" s="54"/>
      <c r="O12"/>
    </row>
    <row r="13" spans="1:15" s="55" customFormat="1" x14ac:dyDescent="0.2">
      <c r="B13" s="56" t="s">
        <v>23</v>
      </c>
      <c r="C13" s="57">
        <v>0.16</v>
      </c>
      <c r="D13" s="57">
        <f t="shared" ref="D13:H14" si="1">(D8-C8)/ABS(C8)</f>
        <v>-0.17355615378194864</v>
      </c>
      <c r="E13" s="57">
        <f t="shared" si="1"/>
        <v>1.0187750673810421E-2</v>
      </c>
      <c r="F13" s="58">
        <f t="shared" si="1"/>
        <v>0.6473124405503401</v>
      </c>
      <c r="G13" s="57">
        <f>(G8-F8)/ABS(F8)</f>
        <v>0.45682579286432085</v>
      </c>
      <c r="H13" s="57">
        <f t="shared" si="1"/>
        <v>9.3880694769686093E-2</v>
      </c>
      <c r="L13" s="52"/>
      <c r="M13" s="53"/>
      <c r="N13" s="59"/>
    </row>
    <row r="14" spans="1:15" x14ac:dyDescent="0.2">
      <c r="B14" s="60" t="s">
        <v>24</v>
      </c>
      <c r="C14" s="57">
        <v>0.01</v>
      </c>
      <c r="D14" s="57">
        <f t="shared" si="1"/>
        <v>-0.46011037846290631</v>
      </c>
      <c r="E14" s="57">
        <f t="shared" si="1"/>
        <v>0.83029523196797483</v>
      </c>
      <c r="F14" s="58">
        <f t="shared" si="1"/>
        <v>3.5085012758423164</v>
      </c>
      <c r="G14" s="61">
        <f>(G9-F9)/ABS(F9)</f>
        <v>0.79229636645455559</v>
      </c>
      <c r="H14" s="61">
        <f t="shared" si="1"/>
        <v>-8.5616907347673167E-3</v>
      </c>
      <c r="L14" s="62"/>
      <c r="M14" s="63"/>
      <c r="N14" s="34"/>
    </row>
    <row r="15" spans="1:15" x14ac:dyDescent="0.2">
      <c r="B15" s="64"/>
      <c r="C15" s="64"/>
      <c r="D15" s="64"/>
      <c r="E15" s="64"/>
      <c r="F15" s="64"/>
      <c r="G15" s="65"/>
      <c r="H15" s="66"/>
      <c r="L15" s="164"/>
      <c r="M15" s="148"/>
      <c r="N15" s="67"/>
    </row>
    <row r="16" spans="1:15" x14ac:dyDescent="0.2">
      <c r="F16" s="68"/>
      <c r="G16" s="65"/>
      <c r="H16" s="66"/>
    </row>
    <row r="17" spans="2:18" x14ac:dyDescent="0.2">
      <c r="C17" s="69"/>
      <c r="D17" s="69"/>
      <c r="E17" s="69"/>
      <c r="F17" s="70"/>
      <c r="G17" s="65"/>
      <c r="H17" s="66"/>
      <c r="I17" s="70"/>
      <c r="L17" s="70"/>
    </row>
    <row r="18" spans="2:18" x14ac:dyDescent="0.2">
      <c r="B18" s="149" t="s">
        <v>25</v>
      </c>
      <c r="C18" s="151">
        <v>2020</v>
      </c>
      <c r="D18" s="152"/>
      <c r="E18" s="152"/>
      <c r="F18" s="153"/>
      <c r="G18" s="154">
        <v>2021</v>
      </c>
      <c r="H18" s="152"/>
      <c r="I18" s="152"/>
      <c r="J18" s="153"/>
      <c r="K18" s="155">
        <v>2022</v>
      </c>
      <c r="L18" s="152"/>
      <c r="M18" s="152"/>
      <c r="N18" s="152"/>
      <c r="O18" s="156">
        <v>2022</v>
      </c>
      <c r="P18" s="157"/>
      <c r="Q18" s="157"/>
      <c r="R18" s="157"/>
    </row>
    <row r="19" spans="2:18" ht="30" x14ac:dyDescent="0.2">
      <c r="B19" s="150"/>
      <c r="C19" s="71" t="s">
        <v>26</v>
      </c>
      <c r="D19" s="74" t="s">
        <v>27</v>
      </c>
      <c r="E19" s="74" t="s">
        <v>28</v>
      </c>
      <c r="F19" s="75" t="s">
        <v>29</v>
      </c>
      <c r="G19" s="71" t="s">
        <v>26</v>
      </c>
      <c r="H19" s="74" t="s">
        <v>27</v>
      </c>
      <c r="I19" s="74" t="s">
        <v>28</v>
      </c>
      <c r="J19" s="75" t="s">
        <v>29</v>
      </c>
      <c r="K19" s="72" t="s">
        <v>30</v>
      </c>
      <c r="L19" s="74" t="s">
        <v>31</v>
      </c>
      <c r="M19" s="74" t="s">
        <v>32</v>
      </c>
      <c r="N19" s="74" t="s">
        <v>33</v>
      </c>
      <c r="O19" s="73" t="s">
        <v>30</v>
      </c>
      <c r="P19" s="76" t="s">
        <v>31</v>
      </c>
      <c r="Q19" s="76" t="s">
        <v>32</v>
      </c>
      <c r="R19" s="76" t="s">
        <v>33</v>
      </c>
    </row>
    <row r="20" spans="2:18" ht="15" x14ac:dyDescent="0.2">
      <c r="B20" s="25" t="s">
        <v>16</v>
      </c>
      <c r="C20" s="77">
        <v>1697289</v>
      </c>
      <c r="D20" s="77">
        <v>2178286</v>
      </c>
      <c r="E20" s="77">
        <v>1954930</v>
      </c>
      <c r="F20" s="77">
        <v>1930034</v>
      </c>
      <c r="G20" s="77">
        <v>1945020</v>
      </c>
      <c r="H20" s="77">
        <v>2930746</v>
      </c>
      <c r="I20" s="77">
        <v>2824024</v>
      </c>
      <c r="J20" s="77">
        <v>5086351</v>
      </c>
      <c r="K20" s="78">
        <v>5829112</v>
      </c>
      <c r="L20" s="78">
        <v>5013280</v>
      </c>
      <c r="M20" s="78">
        <v>3885094</v>
      </c>
      <c r="N20" s="78">
        <v>3899693</v>
      </c>
      <c r="O20" s="78">
        <f>K20+K20*$N$10</f>
        <v>7577845.5999999996</v>
      </c>
      <c r="P20" s="78">
        <f t="shared" ref="P20:R20" si="2">L20+L20*$N$10</f>
        <v>6517264</v>
      </c>
      <c r="Q20" s="78">
        <f t="shared" si="2"/>
        <v>5050622.2</v>
      </c>
      <c r="R20" s="78">
        <f t="shared" si="2"/>
        <v>5069600.9000000004</v>
      </c>
    </row>
    <row r="21" spans="2:18" ht="16" x14ac:dyDescent="0.2">
      <c r="B21" s="79" t="s">
        <v>34</v>
      </c>
      <c r="C21" s="80">
        <v>338781</v>
      </c>
      <c r="D21" s="80">
        <v>570326</v>
      </c>
      <c r="E21" s="80">
        <v>433172</v>
      </c>
      <c r="F21" s="80">
        <v>387332</v>
      </c>
      <c r="G21" s="80">
        <v>432589</v>
      </c>
      <c r="H21" s="80">
        <v>940299</v>
      </c>
      <c r="I21" s="80">
        <v>1040973</v>
      </c>
      <c r="J21" s="80">
        <v>2371678</v>
      </c>
      <c r="K21" s="80">
        <v>2822638</v>
      </c>
      <c r="L21" s="80">
        <v>1930127</v>
      </c>
      <c r="M21" s="80">
        <v>1489270</v>
      </c>
      <c r="N21" s="80">
        <v>1639267</v>
      </c>
      <c r="O21" s="80">
        <v>2822638</v>
      </c>
      <c r="P21" s="80">
        <v>1930127</v>
      </c>
      <c r="Q21"/>
      <c r="R21"/>
    </row>
    <row r="22" spans="2:18" x14ac:dyDescent="0.2">
      <c r="B22" s="2" t="s">
        <v>35</v>
      </c>
      <c r="C22" s="81">
        <f>C21/C20</f>
        <v>0.19960124645832267</v>
      </c>
      <c r="D22" s="81">
        <f t="shared" ref="D22:K22" si="3">D21/D20</f>
        <v>0.26182328674930655</v>
      </c>
      <c r="E22" s="81">
        <f t="shared" si="3"/>
        <v>0.2215792892840153</v>
      </c>
      <c r="F22" s="81">
        <f t="shared" si="3"/>
        <v>0.20068662002845547</v>
      </c>
      <c r="G22" s="81">
        <f t="shared" si="3"/>
        <v>0.22240850993820116</v>
      </c>
      <c r="H22" s="81">
        <f t="shared" si="3"/>
        <v>0.32083947227088255</v>
      </c>
      <c r="I22" s="81">
        <f t="shared" si="3"/>
        <v>0.36861336872491168</v>
      </c>
      <c r="J22" s="81">
        <f t="shared" si="3"/>
        <v>0.46628280274011763</v>
      </c>
      <c r="K22" s="81">
        <f t="shared" si="3"/>
        <v>0.4842312173792509</v>
      </c>
      <c r="L22" s="81">
        <f>L21/L20</f>
        <v>0.38500283247694123</v>
      </c>
      <c r="M22" s="81">
        <f t="shared" ref="M22:R22" si="4">M21/M20</f>
        <v>0.38332920644905888</v>
      </c>
      <c r="N22" s="81">
        <f>N21/N20</f>
        <v>0.4203579615113292</v>
      </c>
      <c r="O22" s="81">
        <f t="shared" si="4"/>
        <v>0.372485551830193</v>
      </c>
      <c r="P22" s="81">
        <f t="shared" si="4"/>
        <v>0.29615602498226251</v>
      </c>
      <c r="Q22" s="81">
        <f t="shared" si="4"/>
        <v>0</v>
      </c>
      <c r="R22" s="81">
        <f t="shared" si="4"/>
        <v>0</v>
      </c>
    </row>
    <row r="23" spans="2:18" x14ac:dyDescent="0.2">
      <c r="B23" s="82" t="s">
        <v>17</v>
      </c>
      <c r="C23" s="83">
        <v>104827</v>
      </c>
      <c r="D23" s="83">
        <v>302880</v>
      </c>
      <c r="E23" s="83">
        <v>182078</v>
      </c>
      <c r="F23" s="83">
        <v>103455</v>
      </c>
      <c r="G23" s="83">
        <v>170787</v>
      </c>
      <c r="H23" s="83">
        <v>684291</v>
      </c>
      <c r="I23" s="83">
        <v>618018</v>
      </c>
      <c r="J23" s="83">
        <v>1643667</v>
      </c>
      <c r="K23" s="84">
        <v>2114087</v>
      </c>
      <c r="L23" s="84">
        <v>1279495</v>
      </c>
      <c r="M23" s="84">
        <v>997573</v>
      </c>
      <c r="N23" s="85">
        <v>1147181</v>
      </c>
      <c r="O23" s="84">
        <v>2114087</v>
      </c>
      <c r="P23" s="84">
        <v>1279495</v>
      </c>
      <c r="Q23" s="84">
        <f>Q20*Q25</f>
        <v>1262655.55</v>
      </c>
      <c r="R23" s="85">
        <f>R20*R25</f>
        <v>1267400.2250000001</v>
      </c>
    </row>
    <row r="24" spans="2:18" x14ac:dyDescent="0.2">
      <c r="B24" s="32" t="s">
        <v>36</v>
      </c>
      <c r="C24" s="86">
        <v>391334260</v>
      </c>
      <c r="D24" s="86">
        <v>391334260</v>
      </c>
      <c r="E24" s="86">
        <v>391334260</v>
      </c>
      <c r="F24" s="86">
        <v>391334260</v>
      </c>
      <c r="G24" s="86">
        <v>391334260</v>
      </c>
      <c r="H24" s="86">
        <v>391334260</v>
      </c>
      <c r="I24" s="86">
        <v>391334260</v>
      </c>
      <c r="J24" s="86">
        <v>391334260</v>
      </c>
      <c r="K24" s="86">
        <v>391334260</v>
      </c>
      <c r="L24" s="86">
        <v>391334260</v>
      </c>
      <c r="M24" s="86">
        <v>391334260</v>
      </c>
      <c r="N24" s="86">
        <v>391334260</v>
      </c>
      <c r="O24" s="86">
        <v>391334260</v>
      </c>
      <c r="P24" s="86">
        <v>391334260</v>
      </c>
      <c r="Q24" s="86">
        <v>391334260</v>
      </c>
      <c r="R24" s="86">
        <v>391334260</v>
      </c>
    </row>
    <row r="25" spans="2:18" s="55" customFormat="1" x14ac:dyDescent="0.2">
      <c r="B25" s="87" t="s">
        <v>18</v>
      </c>
      <c r="C25" s="88">
        <f t="shared" ref="C25:I25" si="5">C23/C20</f>
        <v>6.176143249617478E-2</v>
      </c>
      <c r="D25" s="88">
        <f t="shared" si="5"/>
        <v>0.13904510243374837</v>
      </c>
      <c r="E25" s="88">
        <f>E23/E20</f>
        <v>9.3137861713718656E-2</v>
      </c>
      <c r="F25" s="88">
        <f t="shared" si="5"/>
        <v>5.3602682647041454E-2</v>
      </c>
      <c r="G25" s="88">
        <f t="shared" si="5"/>
        <v>8.7807323318012151E-2</v>
      </c>
      <c r="H25" s="88">
        <f t="shared" si="5"/>
        <v>0.23348696884683967</v>
      </c>
      <c r="I25" s="88">
        <f t="shared" si="5"/>
        <v>0.21884304099398588</v>
      </c>
      <c r="J25" s="88">
        <f>J23/J20</f>
        <v>0.32315249183550249</v>
      </c>
      <c r="K25" s="88">
        <f t="shared" ref="K25:M25" si="6">K23/K20</f>
        <v>0.36267736835387621</v>
      </c>
      <c r="L25" s="88">
        <f t="shared" si="6"/>
        <v>0.25522113267162416</v>
      </c>
      <c r="M25" s="88">
        <f t="shared" si="6"/>
        <v>0.25676933428122972</v>
      </c>
      <c r="N25" s="88">
        <f>N23/N20</f>
        <v>0.29417213098569556</v>
      </c>
      <c r="O25" s="88">
        <f t="shared" ref="O25:P25" si="7">O23/O20</f>
        <v>0.27898259104144324</v>
      </c>
      <c r="P25" s="88">
        <f t="shared" si="7"/>
        <v>0.19632394820894167</v>
      </c>
      <c r="Q25" s="89">
        <f>$N$11</f>
        <v>0.25</v>
      </c>
      <c r="R25" s="90">
        <f>$N$11</f>
        <v>0.25</v>
      </c>
    </row>
    <row r="26" spans="2:18" s="55" customFormat="1" x14ac:dyDescent="0.2">
      <c r="B26" s="91" t="s">
        <v>37</v>
      </c>
      <c r="C26" s="92">
        <f>C23/C24*10^6</f>
        <v>267.8707455871612</v>
      </c>
      <c r="D26" s="92">
        <f t="shared" ref="D26:N26" si="8">D23/D24*10^6</f>
        <v>773.96750287081943</v>
      </c>
      <c r="E26" s="92">
        <f t="shared" si="8"/>
        <v>465.27487779884132</v>
      </c>
      <c r="F26" s="92">
        <f t="shared" si="8"/>
        <v>264.36479136787057</v>
      </c>
      <c r="G26" s="92">
        <f t="shared" si="8"/>
        <v>436.42230557580109</v>
      </c>
      <c r="H26" s="92">
        <f t="shared" si="8"/>
        <v>1748.6099990325406</v>
      </c>
      <c r="I26" s="92">
        <f t="shared" si="8"/>
        <v>1579.2586112956224</v>
      </c>
      <c r="J26" s="92">
        <f t="shared" si="8"/>
        <v>4200.1612636726459</v>
      </c>
      <c r="K26" s="93">
        <f>K23/K24*10^6</f>
        <v>5402.2538174909605</v>
      </c>
      <c r="L26" s="93">
        <f t="shared" si="8"/>
        <v>3269.5706223114735</v>
      </c>
      <c r="M26" s="93">
        <f>M23/M24*10^6</f>
        <v>2549.1583588924723</v>
      </c>
      <c r="N26" s="94">
        <f t="shared" si="8"/>
        <v>2931.4606904082461</v>
      </c>
      <c r="O26" s="93">
        <f>O23/O24*10^6</f>
        <v>5402.2538174909605</v>
      </c>
      <c r="P26" s="93">
        <f t="shared" ref="P26" si="9">P23/P24*10^6</f>
        <v>3269.5706223114735</v>
      </c>
      <c r="Q26" s="93">
        <f>Q23/Q24*10^6</f>
        <v>3226.5397616860841</v>
      </c>
      <c r="R26" s="94">
        <f t="shared" ref="R26" si="10">R23/R24*10^6</f>
        <v>3238.6641154290965</v>
      </c>
    </row>
    <row r="27" spans="2:18" s="55" customFormat="1" x14ac:dyDescent="0.2">
      <c r="B27" s="87" t="s">
        <v>38</v>
      </c>
      <c r="C27" s="95">
        <v>1093</v>
      </c>
      <c r="D27" s="95">
        <v>1795</v>
      </c>
      <c r="E27" s="95">
        <v>2105</v>
      </c>
      <c r="F27" s="95">
        <f t="shared" ref="F27:I27" si="11">SUM(C26:F26)</f>
        <v>1771.4779176246925</v>
      </c>
      <c r="G27" s="95">
        <f t="shared" si="11"/>
        <v>1940.0294776133323</v>
      </c>
      <c r="H27" s="95">
        <f t="shared" si="11"/>
        <v>2914.6719737750536</v>
      </c>
      <c r="I27" s="95">
        <f t="shared" si="11"/>
        <v>4028.6557072718347</v>
      </c>
      <c r="J27" s="95">
        <v>7964</v>
      </c>
      <c r="K27" s="96">
        <v>12930</v>
      </c>
      <c r="L27" s="96">
        <v>14451</v>
      </c>
      <c r="M27" s="96">
        <v>15421</v>
      </c>
      <c r="N27" s="97">
        <v>14152</v>
      </c>
      <c r="O27" s="96">
        <f>SUM(L26:O26)</f>
        <v>14152.443489103152</v>
      </c>
      <c r="P27" s="96">
        <f t="shared" ref="P27:R27" si="12">SUM(M26:P26)</f>
        <v>14152.443489103152</v>
      </c>
      <c r="Q27" s="96">
        <f t="shared" si="12"/>
        <v>14829.824891896766</v>
      </c>
      <c r="R27" s="96">
        <f t="shared" si="12"/>
        <v>15137.028316917615</v>
      </c>
    </row>
    <row r="28" spans="2:18" x14ac:dyDescent="0.2">
      <c r="B28" s="32" t="s">
        <v>39</v>
      </c>
      <c r="C28" s="98">
        <v>10.48</v>
      </c>
      <c r="D28" s="98">
        <v>7.8</v>
      </c>
      <c r="E28" s="98">
        <v>8.4600000000000009</v>
      </c>
      <c r="F28" s="98">
        <v>10.61</v>
      </c>
      <c r="G28" s="98">
        <v>10.23</v>
      </c>
      <c r="H28" s="98">
        <v>8.17</v>
      </c>
      <c r="I28" s="99">
        <v>9.1300000000000008</v>
      </c>
      <c r="J28" s="99">
        <v>6.28</v>
      </c>
      <c r="K28" s="99">
        <v>5.17</v>
      </c>
      <c r="L28" s="99">
        <v>3.53</v>
      </c>
      <c r="M28" s="99">
        <v>3.04</v>
      </c>
      <c r="N28" s="99">
        <v>3.03</v>
      </c>
      <c r="O28" s="99">
        <f>$N$9/SUM(L26:O26)</f>
        <v>3.6036179928411709</v>
      </c>
      <c r="P28" s="99">
        <f t="shared" ref="P28:R28" si="13">$N$9/SUM(M26:P26)</f>
        <v>3.6036179928411709</v>
      </c>
      <c r="Q28" s="99">
        <f>$N$9/SUM(N26:Q26)</f>
        <v>3.439015657417988</v>
      </c>
      <c r="R28" s="99">
        <f t="shared" si="13"/>
        <v>3.3692214173240869</v>
      </c>
    </row>
    <row r="29" spans="2:18" ht="16" x14ac:dyDescent="0.2">
      <c r="B29" s="91" t="s">
        <v>23</v>
      </c>
      <c r="C29" s="100"/>
      <c r="D29" s="100"/>
      <c r="E29" s="100"/>
      <c r="F29" s="100"/>
      <c r="G29" s="101">
        <f>(G20-C20)/ABS(C20)</f>
        <v>0.14595687593568332</v>
      </c>
      <c r="H29" s="101">
        <f>(H20-D20)/ABS(D20)</f>
        <v>0.34543673328479363</v>
      </c>
      <c r="I29" s="101">
        <f>(I20-E20)/ABS(E20)</f>
        <v>0.4445652785521732</v>
      </c>
      <c r="J29" s="101">
        <f t="shared" ref="J29:R29" si="14">(J20-F20)/ABS(F20)</f>
        <v>1.6353685997241498</v>
      </c>
      <c r="K29" s="101">
        <f t="shared" si="14"/>
        <v>1.9969419337590359</v>
      </c>
      <c r="L29" s="101">
        <f t="shared" si="14"/>
        <v>0.71058153794289913</v>
      </c>
      <c r="M29" s="101">
        <f t="shared" si="14"/>
        <v>0.37572980966167424</v>
      </c>
      <c r="N29" s="101">
        <f t="shared" si="14"/>
        <v>-0.23330242053684458</v>
      </c>
      <c r="O29" s="101">
        <f t="shared" si="14"/>
        <v>0.29999999999999993</v>
      </c>
      <c r="P29" s="101">
        <f t="shared" si="14"/>
        <v>0.3</v>
      </c>
      <c r="Q29" s="101">
        <f t="shared" si="14"/>
        <v>0.30000000000000004</v>
      </c>
      <c r="R29" s="101">
        <f t="shared" si="14"/>
        <v>0.3000000000000001</v>
      </c>
    </row>
    <row r="30" spans="2:18" ht="16" x14ac:dyDescent="0.2">
      <c r="B30" s="102" t="s">
        <v>24</v>
      </c>
      <c r="C30" s="103"/>
      <c r="D30" s="104"/>
      <c r="E30" s="105"/>
      <c r="F30" s="105"/>
      <c r="G30" s="106">
        <f>(G23-C23)/ABS(C23)</f>
        <v>0.62922720291527945</v>
      </c>
      <c r="H30" s="106">
        <f t="shared" ref="H30:M30" si="15">(H23-D23)/ABS(D23)</f>
        <v>1.2592809033280508</v>
      </c>
      <c r="I30" s="106">
        <f t="shared" si="15"/>
        <v>2.3942486187238434</v>
      </c>
      <c r="J30" s="106">
        <f t="shared" si="15"/>
        <v>14.887748296360737</v>
      </c>
      <c r="K30" s="106">
        <f t="shared" si="15"/>
        <v>11.378500705557215</v>
      </c>
      <c r="L30" s="106">
        <f t="shared" si="15"/>
        <v>0.86981123527855841</v>
      </c>
      <c r="M30" s="106">
        <f t="shared" si="15"/>
        <v>0.61414877883815677</v>
      </c>
      <c r="N30" s="106">
        <f>(N23-J23)/ABS(J23)</f>
        <v>-0.30205996713446215</v>
      </c>
      <c r="O30" s="106">
        <f t="shared" ref="O30:R30" si="16">(O23-K23)/ABS(K23)</f>
        <v>0</v>
      </c>
      <c r="P30" s="106">
        <f t="shared" si="16"/>
        <v>0</v>
      </c>
      <c r="Q30" s="106">
        <f t="shared" si="16"/>
        <v>0.26572747057107604</v>
      </c>
      <c r="R30" s="106">
        <f t="shared" si="16"/>
        <v>0.10479534179872234</v>
      </c>
    </row>
    <row r="31" spans="2:18" ht="16" x14ac:dyDescent="0.2">
      <c r="C31" s="107"/>
      <c r="D31" s="108"/>
      <c r="E31" s="109"/>
      <c r="F31" s="109"/>
      <c r="G31" s="110"/>
      <c r="H31" s="111"/>
      <c r="I31"/>
      <c r="J31"/>
      <c r="K31"/>
      <c r="L31"/>
      <c r="M31"/>
      <c r="N31"/>
    </row>
    <row r="32" spans="2:18" ht="16" x14ac:dyDescent="0.2">
      <c r="B32" s="64"/>
      <c r="C32" s="107"/>
      <c r="D32" s="108"/>
      <c r="E32" s="109"/>
      <c r="F32" s="109"/>
      <c r="G32" s="110"/>
      <c r="H32" s="110"/>
      <c r="I32" s="110"/>
      <c r="J32"/>
      <c r="K32"/>
      <c r="L32"/>
      <c r="M32"/>
      <c r="N32"/>
    </row>
    <row r="33" spans="1:18" ht="16" x14ac:dyDescent="0.2">
      <c r="J33"/>
      <c r="K33"/>
      <c r="L33"/>
      <c r="M33"/>
      <c r="N33"/>
    </row>
    <row r="35" spans="1:18" x14ac:dyDescent="0.2">
      <c r="I35" s="145" t="s">
        <v>40</v>
      </c>
      <c r="J35" s="145"/>
      <c r="K35" s="145"/>
      <c r="L35" s="145"/>
      <c r="M35" s="145"/>
      <c r="N35" s="145"/>
      <c r="O35" s="145"/>
      <c r="P35" s="145"/>
      <c r="Q35" s="145"/>
      <c r="R35" s="145"/>
    </row>
    <row r="36" spans="1:18" x14ac:dyDescent="0.2">
      <c r="C36" s="107"/>
      <c r="D36" s="108"/>
      <c r="E36" s="108"/>
      <c r="F36" s="108"/>
      <c r="G36" s="108"/>
      <c r="H36" s="146" t="s">
        <v>41</v>
      </c>
      <c r="I36" s="145"/>
      <c r="J36" s="145"/>
      <c r="K36" s="145"/>
      <c r="L36" s="145"/>
      <c r="M36" s="145"/>
      <c r="N36" s="145"/>
      <c r="O36" s="145"/>
      <c r="P36" s="145"/>
      <c r="Q36" s="145"/>
      <c r="R36" s="145"/>
    </row>
    <row r="37" spans="1:18" ht="14" customHeight="1" x14ac:dyDescent="0.2">
      <c r="C37"/>
      <c r="D37"/>
      <c r="E37"/>
      <c r="F37"/>
      <c r="G37"/>
      <c r="H37" s="147"/>
      <c r="I37" s="112"/>
      <c r="J37" s="112"/>
      <c r="K37" s="113" t="s">
        <v>42</v>
      </c>
      <c r="L37" s="113" t="s">
        <v>43</v>
      </c>
      <c r="M37" s="113" t="s">
        <v>44</v>
      </c>
      <c r="N37" s="113" t="s">
        <v>45</v>
      </c>
      <c r="O37" s="113" t="s">
        <v>42</v>
      </c>
      <c r="P37" s="113" t="s">
        <v>43</v>
      </c>
      <c r="Q37" s="113" t="s">
        <v>44</v>
      </c>
      <c r="R37" s="113" t="s">
        <v>45</v>
      </c>
    </row>
    <row r="38" spans="1:18" ht="16" x14ac:dyDescent="0.2">
      <c r="C38"/>
      <c r="D38"/>
      <c r="E38"/>
      <c r="F38"/>
      <c r="G38"/>
      <c r="H38" s="114">
        <v>9</v>
      </c>
      <c r="I38" s="115"/>
      <c r="J38" s="115"/>
      <c r="K38" s="116">
        <f t="shared" ref="K38:R38" si="17">$H$38*K27</f>
        <v>116370</v>
      </c>
      <c r="L38" s="116">
        <f t="shared" si="17"/>
        <v>130059</v>
      </c>
      <c r="M38" s="116">
        <f t="shared" si="17"/>
        <v>138789</v>
      </c>
      <c r="N38" s="116">
        <f t="shared" si="17"/>
        <v>127368</v>
      </c>
      <c r="O38" s="115">
        <f t="shared" si="17"/>
        <v>127371.99140192838</v>
      </c>
      <c r="P38" s="115">
        <f t="shared" si="17"/>
        <v>127371.99140192838</v>
      </c>
      <c r="Q38" s="115">
        <f t="shared" si="17"/>
        <v>133468.4240270709</v>
      </c>
      <c r="R38" s="115">
        <f t="shared" si="17"/>
        <v>136233.25485225854</v>
      </c>
    </row>
    <row r="39" spans="1:18" ht="16" x14ac:dyDescent="0.2">
      <c r="C39"/>
      <c r="D39"/>
      <c r="E39"/>
      <c r="F39"/>
      <c r="G39"/>
      <c r="H39" s="117">
        <v>10</v>
      </c>
      <c r="I39" s="118"/>
      <c r="J39" s="119"/>
      <c r="K39" s="120">
        <f t="shared" ref="K39:R39" si="18">$H$39*K27</f>
        <v>129300</v>
      </c>
      <c r="L39" s="120">
        <f t="shared" si="18"/>
        <v>144510</v>
      </c>
      <c r="M39" s="120">
        <f t="shared" si="18"/>
        <v>154210</v>
      </c>
      <c r="N39" s="120">
        <f t="shared" si="18"/>
        <v>141520</v>
      </c>
      <c r="O39" s="121">
        <f t="shared" si="18"/>
        <v>141524.43489103153</v>
      </c>
      <c r="P39" s="121">
        <f t="shared" si="18"/>
        <v>141524.43489103153</v>
      </c>
      <c r="Q39" s="121">
        <f t="shared" si="18"/>
        <v>148298.24891896767</v>
      </c>
      <c r="R39" s="121">
        <f t="shared" si="18"/>
        <v>151370.28316917614</v>
      </c>
    </row>
    <row r="40" spans="1:18" ht="20" x14ac:dyDescent="0.2">
      <c r="A40" s="64"/>
      <c r="B40" s="122" t="s">
        <v>46</v>
      </c>
      <c r="C40" s="123"/>
      <c r="D40" s="123"/>
      <c r="E40" s="123"/>
      <c r="F40" s="123"/>
      <c r="G40" s="124"/>
      <c r="H40" s="125">
        <v>8</v>
      </c>
      <c r="I40" s="126"/>
      <c r="J40" s="126"/>
      <c r="K40" s="127">
        <f t="shared" ref="K40:R40" si="19">$H$40*K27</f>
        <v>103440</v>
      </c>
      <c r="L40" s="127">
        <f t="shared" si="19"/>
        <v>115608</v>
      </c>
      <c r="M40" s="127">
        <f t="shared" si="19"/>
        <v>123368</v>
      </c>
      <c r="N40" s="127">
        <f t="shared" si="19"/>
        <v>113216</v>
      </c>
      <c r="O40" s="126">
        <f t="shared" si="19"/>
        <v>113219.54791282522</v>
      </c>
      <c r="P40" s="126">
        <f t="shared" si="19"/>
        <v>113219.54791282522</v>
      </c>
      <c r="Q40" s="126">
        <f t="shared" si="19"/>
        <v>118638.59913517412</v>
      </c>
      <c r="R40" s="126">
        <f t="shared" si="19"/>
        <v>121096.22653534092</v>
      </c>
    </row>
    <row r="41" spans="1:18" x14ac:dyDescent="0.2">
      <c r="A41" s="64"/>
      <c r="B41" s="128" t="s">
        <v>47</v>
      </c>
      <c r="C41" s="129"/>
      <c r="D41" s="129"/>
      <c r="E41" s="129"/>
      <c r="F41" s="129"/>
      <c r="G41" s="130"/>
      <c r="H41" s="125">
        <v>7</v>
      </c>
      <c r="I41" s="126"/>
      <c r="J41" s="126"/>
      <c r="K41" s="127">
        <f t="shared" ref="K41:R41" si="20">$H$41*K27</f>
        <v>90510</v>
      </c>
      <c r="L41" s="127">
        <f t="shared" si="20"/>
        <v>101157</v>
      </c>
      <c r="M41" s="127">
        <f t="shared" si="20"/>
        <v>107947</v>
      </c>
      <c r="N41" s="127">
        <f t="shared" si="20"/>
        <v>99064</v>
      </c>
      <c r="O41" s="126">
        <f t="shared" si="20"/>
        <v>99067.104423722063</v>
      </c>
      <c r="P41" s="126">
        <f t="shared" si="20"/>
        <v>99067.104423722063</v>
      </c>
      <c r="Q41" s="126">
        <f t="shared" si="20"/>
        <v>103808.77424327735</v>
      </c>
      <c r="R41" s="126">
        <f t="shared" si="20"/>
        <v>105959.19821842331</v>
      </c>
    </row>
    <row r="42" spans="1:18" x14ac:dyDescent="0.2">
      <c r="A42" s="64"/>
      <c r="B42" s="128"/>
      <c r="C42" s="129"/>
      <c r="D42" s="129"/>
      <c r="E42" s="129"/>
      <c r="F42" s="129"/>
      <c r="G42" s="130"/>
      <c r="H42" s="125">
        <v>6</v>
      </c>
      <c r="I42" s="126"/>
      <c r="J42" s="126"/>
      <c r="K42" s="127">
        <f t="shared" ref="K42:R42" si="21">$H$42*K27</f>
        <v>77580</v>
      </c>
      <c r="L42" s="127">
        <f t="shared" si="21"/>
        <v>86706</v>
      </c>
      <c r="M42" s="127">
        <f t="shared" si="21"/>
        <v>92526</v>
      </c>
      <c r="N42" s="127">
        <f t="shared" si="21"/>
        <v>84912</v>
      </c>
      <c r="O42" s="126">
        <f t="shared" si="21"/>
        <v>84914.660934618907</v>
      </c>
      <c r="P42" s="126">
        <f t="shared" si="21"/>
        <v>84914.660934618907</v>
      </c>
      <c r="Q42" s="126">
        <f t="shared" si="21"/>
        <v>88978.949351380594</v>
      </c>
      <c r="R42" s="126">
        <f t="shared" si="21"/>
        <v>90822.169901505695</v>
      </c>
    </row>
    <row r="43" spans="1:18" x14ac:dyDescent="0.2">
      <c r="A43" s="64"/>
      <c r="B43" s="128"/>
      <c r="C43" s="129"/>
      <c r="D43" s="129"/>
      <c r="E43" s="129"/>
      <c r="F43" s="129"/>
      <c r="G43" s="130"/>
      <c r="H43" s="64">
        <v>5</v>
      </c>
      <c r="I43" s="126"/>
      <c r="J43" s="126"/>
      <c r="K43" s="127">
        <f>$H$43*K27</f>
        <v>64650</v>
      </c>
      <c r="L43" s="127">
        <f t="shared" ref="L43:N43" si="22">$H$43*L27</f>
        <v>72255</v>
      </c>
      <c r="M43" s="127">
        <f t="shared" si="22"/>
        <v>77105</v>
      </c>
      <c r="N43" s="127">
        <f t="shared" si="22"/>
        <v>70760</v>
      </c>
      <c r="O43" s="126">
        <f>$H$43*O27</f>
        <v>70762.217445515766</v>
      </c>
      <c r="P43" s="126">
        <f t="shared" ref="P43:R43" si="23">$H$43*P27</f>
        <v>70762.217445515766</v>
      </c>
      <c r="Q43" s="126">
        <f t="shared" si="23"/>
        <v>74149.124459483835</v>
      </c>
      <c r="R43" s="126">
        <f t="shared" si="23"/>
        <v>75685.141584588069</v>
      </c>
    </row>
    <row r="44" spans="1:18" x14ac:dyDescent="0.2">
      <c r="A44" s="64"/>
      <c r="B44" s="128"/>
      <c r="C44" s="129"/>
      <c r="D44" s="129"/>
      <c r="E44" s="129"/>
      <c r="F44" s="129"/>
      <c r="G44" s="130"/>
      <c r="H44" s="64">
        <v>4</v>
      </c>
      <c r="I44" s="64"/>
      <c r="K44" s="131">
        <f>$H$44*K27</f>
        <v>51720</v>
      </c>
      <c r="L44" s="131">
        <f t="shared" ref="L44:N44" si="24">$H$44*L27</f>
        <v>57804</v>
      </c>
      <c r="M44" s="131">
        <f>$H$44*M27</f>
        <v>61684</v>
      </c>
      <c r="N44" s="131">
        <f t="shared" si="24"/>
        <v>56608</v>
      </c>
      <c r="O44" s="132">
        <f>$H$44*O27</f>
        <v>56609.77395641261</v>
      </c>
      <c r="P44" s="132">
        <f t="shared" ref="P44" si="25">$H$44*P27</f>
        <v>56609.77395641261</v>
      </c>
      <c r="Q44" s="132">
        <f>$H$44*Q27</f>
        <v>59319.299567587062</v>
      </c>
      <c r="R44" s="132">
        <f t="shared" ref="R44" si="26">$H$44*R27</f>
        <v>60548.113267670458</v>
      </c>
    </row>
    <row r="45" spans="1:18" x14ac:dyDescent="0.2">
      <c r="A45" s="64"/>
      <c r="B45" s="128"/>
      <c r="C45" s="129"/>
      <c r="D45" s="129"/>
      <c r="E45" s="129"/>
      <c r="F45" s="129"/>
      <c r="G45" s="130"/>
      <c r="H45" s="64"/>
    </row>
    <row r="46" spans="1:18" x14ac:dyDescent="0.2">
      <c r="A46" s="64"/>
      <c r="B46" s="128"/>
      <c r="C46" s="129"/>
      <c r="D46" s="129"/>
      <c r="E46" s="129"/>
      <c r="F46" s="129"/>
      <c r="G46" s="130"/>
      <c r="H46" s="64"/>
      <c r="I46" s="133"/>
      <c r="J46" s="70"/>
    </row>
    <row r="47" spans="1:18" x14ac:dyDescent="0.2">
      <c r="A47" s="64"/>
      <c r="B47" s="128"/>
      <c r="C47" s="129"/>
      <c r="D47" s="129"/>
      <c r="E47" s="129"/>
      <c r="F47" s="129"/>
      <c r="G47" s="130"/>
      <c r="H47" s="64"/>
      <c r="I47" s="134"/>
      <c r="J47" s="135"/>
    </row>
    <row r="48" spans="1:18" x14ac:dyDescent="0.2">
      <c r="A48" s="64"/>
      <c r="B48" s="128"/>
      <c r="C48" s="129"/>
      <c r="D48" s="129"/>
      <c r="E48" s="129"/>
      <c r="F48" s="129"/>
      <c r="G48" s="130"/>
      <c r="H48" s="64"/>
      <c r="I48" s="64"/>
    </row>
    <row r="49" spans="1:10" x14ac:dyDescent="0.2">
      <c r="A49" s="64"/>
      <c r="B49" s="136"/>
      <c r="C49" s="137"/>
      <c r="D49" s="137"/>
      <c r="E49" s="137"/>
      <c r="F49" s="137"/>
      <c r="G49" s="138"/>
      <c r="H49" s="64"/>
      <c r="I49" s="64"/>
    </row>
    <row r="50" spans="1:10" ht="20" x14ac:dyDescent="0.2">
      <c r="A50" s="64"/>
      <c r="B50" s="139" t="str">
        <f>"II. ĐIỂM MẠNH CỦA"&amp;" "&amp;$H$2</f>
        <v>II. ĐIỂM MẠNH CỦA DPM</v>
      </c>
      <c r="C50" s="140"/>
      <c r="D50" s="141"/>
      <c r="E50" s="141"/>
      <c r="F50" s="141"/>
      <c r="G50" s="142"/>
      <c r="H50" s="64"/>
      <c r="I50" s="64"/>
    </row>
    <row r="51" spans="1:10" x14ac:dyDescent="0.2">
      <c r="A51" s="64"/>
      <c r="B51" s="143"/>
      <c r="C51" s="129"/>
      <c r="D51" s="129"/>
      <c r="E51" s="129"/>
      <c r="F51" s="129"/>
      <c r="G51" s="130"/>
      <c r="H51" s="64"/>
      <c r="I51" s="64"/>
    </row>
    <row r="52" spans="1:10" x14ac:dyDescent="0.2">
      <c r="A52" s="64"/>
      <c r="B52" s="128"/>
      <c r="C52" s="129"/>
      <c r="D52" s="129"/>
      <c r="E52" s="129"/>
      <c r="F52" s="129"/>
      <c r="G52" s="130"/>
      <c r="H52" s="64"/>
      <c r="I52" s="64"/>
      <c r="J52" s="144"/>
    </row>
    <row r="53" spans="1:10" x14ac:dyDescent="0.2">
      <c r="A53" s="64"/>
      <c r="B53" s="128"/>
      <c r="C53" s="129"/>
      <c r="D53" s="129"/>
      <c r="E53" s="129"/>
      <c r="F53" s="129"/>
      <c r="G53" s="130"/>
      <c r="H53" s="64"/>
      <c r="I53" s="64"/>
    </row>
    <row r="54" spans="1:10" x14ac:dyDescent="0.2">
      <c r="A54" s="64"/>
      <c r="B54" s="128"/>
      <c r="C54" s="129"/>
      <c r="D54" s="129"/>
      <c r="E54" s="129"/>
      <c r="F54" s="129"/>
      <c r="G54" s="130"/>
      <c r="H54" s="64"/>
      <c r="I54" s="64"/>
    </row>
    <row r="55" spans="1:10" x14ac:dyDescent="0.2">
      <c r="A55" s="64"/>
      <c r="B55" s="136"/>
      <c r="C55" s="137"/>
      <c r="D55" s="137"/>
      <c r="E55" s="137"/>
      <c r="F55" s="137"/>
      <c r="G55" s="138"/>
      <c r="H55" s="64"/>
      <c r="I55" s="64"/>
    </row>
    <row r="56" spans="1:10" ht="16" x14ac:dyDescent="0.2">
      <c r="B56"/>
      <c r="C56"/>
      <c r="D56"/>
      <c r="E56"/>
      <c r="F56"/>
      <c r="G56"/>
    </row>
    <row r="57" spans="1:10" ht="16" x14ac:dyDescent="0.2">
      <c r="B57"/>
      <c r="C57"/>
      <c r="D57"/>
      <c r="E57"/>
      <c r="F57"/>
      <c r="G57"/>
    </row>
    <row r="58" spans="1:10" ht="16" x14ac:dyDescent="0.2">
      <c r="B58"/>
      <c r="C58"/>
      <c r="D58"/>
      <c r="E58"/>
      <c r="F58"/>
      <c r="G58"/>
    </row>
    <row r="59" spans="1:10" ht="16" x14ac:dyDescent="0.2">
      <c r="B59"/>
      <c r="C59"/>
      <c r="D59"/>
      <c r="E59"/>
      <c r="F59"/>
      <c r="G59"/>
    </row>
    <row r="60" spans="1:10" ht="16" x14ac:dyDescent="0.2">
      <c r="B60"/>
      <c r="C60"/>
      <c r="D60"/>
      <c r="E60"/>
      <c r="F60"/>
      <c r="G60"/>
    </row>
    <row r="61" spans="1:10" ht="16" x14ac:dyDescent="0.2">
      <c r="B61"/>
      <c r="C61"/>
      <c r="D61"/>
      <c r="E61"/>
      <c r="F61"/>
      <c r="G61"/>
    </row>
    <row r="62" spans="1:10" ht="16" x14ac:dyDescent="0.2">
      <c r="B62"/>
      <c r="C62"/>
      <c r="D62"/>
      <c r="E62"/>
      <c r="F62"/>
      <c r="G62"/>
    </row>
    <row r="63" spans="1:10" ht="16" x14ac:dyDescent="0.2">
      <c r="B63"/>
      <c r="C63"/>
      <c r="D63"/>
      <c r="E63"/>
      <c r="F63"/>
      <c r="G63"/>
    </row>
    <row r="64" spans="1:10" ht="16" x14ac:dyDescent="0.2">
      <c r="B64"/>
      <c r="C64"/>
      <c r="D64"/>
      <c r="E64"/>
      <c r="F64"/>
      <c r="G64"/>
    </row>
    <row r="65" spans="2:7" ht="16" x14ac:dyDescent="0.2">
      <c r="B65"/>
      <c r="C65"/>
      <c r="D65"/>
      <c r="E65"/>
      <c r="F65"/>
      <c r="G65"/>
    </row>
    <row r="66" spans="2:7" ht="16" x14ac:dyDescent="0.2">
      <c r="B66"/>
      <c r="C66"/>
      <c r="D66"/>
      <c r="E66"/>
      <c r="F66"/>
      <c r="G66"/>
    </row>
    <row r="67" spans="2:7" ht="16" x14ac:dyDescent="0.2">
      <c r="B67"/>
      <c r="C67"/>
      <c r="D67"/>
      <c r="E67"/>
      <c r="F67"/>
      <c r="G67"/>
    </row>
    <row r="68" spans="2:7" ht="16" x14ac:dyDescent="0.2">
      <c r="B68"/>
      <c r="C68"/>
      <c r="D68"/>
      <c r="E68"/>
      <c r="F68"/>
      <c r="G68"/>
    </row>
    <row r="69" spans="2:7" ht="16" x14ac:dyDescent="0.2">
      <c r="B69"/>
      <c r="C69"/>
      <c r="D69"/>
      <c r="E69"/>
      <c r="F69"/>
      <c r="G69"/>
    </row>
    <row r="70" spans="2:7" ht="16" x14ac:dyDescent="0.2">
      <c r="B70"/>
      <c r="C70"/>
      <c r="D70"/>
      <c r="E70"/>
      <c r="F70"/>
      <c r="G70"/>
    </row>
    <row r="71" spans="2:7" ht="16" x14ac:dyDescent="0.2">
      <c r="B71"/>
      <c r="C71"/>
      <c r="D71"/>
      <c r="E71"/>
      <c r="F71"/>
      <c r="G71"/>
    </row>
    <row r="72" spans="2:7" ht="16" x14ac:dyDescent="0.2">
      <c r="B72"/>
      <c r="C72"/>
      <c r="D72"/>
      <c r="E72"/>
      <c r="F72"/>
      <c r="G72"/>
    </row>
    <row r="73" spans="2:7" ht="16" x14ac:dyDescent="0.2">
      <c r="B73"/>
      <c r="C73"/>
      <c r="D73"/>
      <c r="E73"/>
      <c r="F73"/>
      <c r="G73"/>
    </row>
    <row r="74" spans="2:7" ht="16" x14ac:dyDescent="0.2">
      <c r="B74"/>
      <c r="C74"/>
      <c r="D74"/>
      <c r="E74"/>
      <c r="F74"/>
      <c r="G74"/>
    </row>
    <row r="75" spans="2:7" ht="16" x14ac:dyDescent="0.2">
      <c r="B75"/>
      <c r="C75"/>
      <c r="D75"/>
      <c r="E75"/>
      <c r="F75"/>
      <c r="G75"/>
    </row>
    <row r="76" spans="2:7" ht="16" x14ac:dyDescent="0.2">
      <c r="B76"/>
      <c r="C76"/>
      <c r="D76"/>
      <c r="E76"/>
      <c r="F76"/>
      <c r="G76"/>
    </row>
    <row r="77" spans="2:7" ht="16" x14ac:dyDescent="0.2">
      <c r="B77"/>
      <c r="C77"/>
      <c r="D77"/>
      <c r="E77"/>
      <c r="F77"/>
      <c r="G77"/>
    </row>
    <row r="78" spans="2:7" ht="16" x14ac:dyDescent="0.2">
      <c r="B78"/>
      <c r="C78"/>
      <c r="D78"/>
      <c r="E78"/>
      <c r="F78"/>
      <c r="G78"/>
    </row>
    <row r="79" spans="2:7" ht="16" x14ac:dyDescent="0.2">
      <c r="B79"/>
      <c r="C79"/>
      <c r="D79"/>
      <c r="E79"/>
      <c r="F79"/>
      <c r="G79"/>
    </row>
    <row r="80" spans="2:7" ht="16" x14ac:dyDescent="0.2">
      <c r="B80"/>
      <c r="C80"/>
      <c r="D80"/>
      <c r="E80"/>
      <c r="F80"/>
      <c r="G80"/>
    </row>
    <row r="81" spans="2:7" ht="16" x14ac:dyDescent="0.2">
      <c r="B81"/>
      <c r="C81"/>
      <c r="D81"/>
      <c r="E81"/>
      <c r="F81"/>
      <c r="G81"/>
    </row>
    <row r="82" spans="2:7" ht="16" x14ac:dyDescent="0.2">
      <c r="B82"/>
      <c r="C82"/>
      <c r="D82"/>
      <c r="E82"/>
      <c r="F82"/>
      <c r="G82"/>
    </row>
    <row r="83" spans="2:7" ht="16" x14ac:dyDescent="0.2">
      <c r="B83"/>
      <c r="C83"/>
      <c r="D83"/>
      <c r="E83"/>
      <c r="F83"/>
      <c r="G83"/>
    </row>
    <row r="84" spans="2:7" ht="16" x14ac:dyDescent="0.2">
      <c r="B84"/>
      <c r="C84"/>
      <c r="D84"/>
      <c r="E84"/>
      <c r="F84"/>
      <c r="G84"/>
    </row>
    <row r="85" spans="2:7" ht="16" x14ac:dyDescent="0.2">
      <c r="B85"/>
      <c r="C85"/>
      <c r="D85"/>
      <c r="E85"/>
      <c r="F85"/>
      <c r="G85"/>
    </row>
    <row r="86" spans="2:7" ht="16" x14ac:dyDescent="0.2">
      <c r="B86"/>
      <c r="C86"/>
      <c r="D86"/>
      <c r="E86"/>
      <c r="F86"/>
      <c r="G86"/>
    </row>
  </sheetData>
  <mergeCells count="14">
    <mergeCell ref="L15:M15"/>
    <mergeCell ref="B1:D1"/>
    <mergeCell ref="D2:G2"/>
    <mergeCell ref="B3:D3"/>
    <mergeCell ref="C4:C5"/>
    <mergeCell ref="D4:D5"/>
    <mergeCell ref="E4:H5"/>
    <mergeCell ref="I35:R36"/>
    <mergeCell ref="H36:H37"/>
    <mergeCell ref="B18:B19"/>
    <mergeCell ref="C18:F18"/>
    <mergeCell ref="G18:J18"/>
    <mergeCell ref="K18:N18"/>
    <mergeCell ref="O18:R18"/>
  </mergeCells>
  <conditionalFormatting sqref="E4">
    <cfRule type="containsText" dxfId="9" priority="7" operator="containsText" text="CỔ PHIẾU ÍT HẤP DẪN+THEO DÕI THÊM">
      <formula>NOT(ISERROR(SEARCH("CỔ PHIẾU ÍT HẤP DẪN+THEO DÕI THÊM",E4)))</formula>
    </cfRule>
    <cfRule type="containsText" dxfId="8" priority="8" operator="containsText" text="CỔ PHIẾU CÒN TIỀM NĂNG">
      <formula>NOT(ISERROR(SEARCH("CỔ PHIẾU CÒN TIỀM NĂNG",E4)))</formula>
    </cfRule>
    <cfRule type="containsText" dxfId="7" priority="9" operator="containsText" text="LỢI NHUẬN ĐÃ PHẢN ÁNH VÀO GIÁ+THEO DÕI THÊM">
      <formula>NOT(ISERROR(SEARCH("LỢI NHUẬN ĐÃ PHẢN ÁNH VÀO GIÁ+THEO DÕI THÊM",E4)))</formula>
    </cfRule>
    <cfRule type="cellIs" dxfId="6" priority="10" operator="equal">
      <formula>"LỢI NHUẬN ĐÃ PHẢN ÁNH VÀO GIÁ + THEO DÕI THÊM"</formula>
    </cfRule>
  </conditionalFormatting>
  <conditionalFormatting sqref="G29:R30">
    <cfRule type="cellIs" dxfId="5" priority="1" operator="greaterThan">
      <formula>0.35</formula>
    </cfRule>
  </conditionalFormatting>
  <conditionalFormatting sqref="J5">
    <cfRule type="cellIs" dxfId="4" priority="2" operator="equal">
      <formula>0.07</formula>
    </cfRule>
    <cfRule type="cellIs" dxfId="3" priority="3" operator="greaterThan">
      <formula>0.1</formula>
    </cfRule>
    <cfRule type="cellIs" dxfId="2" priority="4" operator="lessThan">
      <formula>0.07</formula>
    </cfRule>
    <cfRule type="cellIs" dxfId="1" priority="5" operator="greaterThan">
      <formula>0.07</formula>
    </cfRule>
    <cfRule type="cellIs" dxfId="0" priority="6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2026-01-22T14:29:13Z</dcterms:created>
  <dcterms:modified xsi:type="dcterms:W3CDTF">2026-01-25T01:33:44Z</dcterms:modified>
</cp:coreProperties>
</file>